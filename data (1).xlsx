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-Data" sheetId="2" state="visible" r:id="rId4"/>
    <sheet name="HSR Arrival OT" sheetId="3" state="visible" r:id="rId5"/>
    <sheet name="HSR Availability" sheetId="4" state="visible" r:id="rId6"/>
    <sheet name="Central Arrival OT" sheetId="5" state="visible" r:id="rId7"/>
    <sheet name="Central Availability" sheetId="6" state="visible" r:id="rId8"/>
    <sheet name="Combined Arrival OT" sheetId="7" state="visible" r:id="rId9"/>
    <sheet name="Combined Availability" sheetId="8" state="visible" r:id="rId10"/>
    <sheet name="BLR City Arrival OT" sheetId="9" state="visible" r:id="rId11"/>
    <sheet name="Graph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<sst xmlns="http://schemas.openxmlformats.org/spreadsheetml/2006/main" count="273" uniqueCount="82">
  <si>
    <t xml:space="preserve">HSR vs Central Hub vs Combined vs BLR City — Executive Summary</t>
  </si>
  <si>
    <t xml:space="preserve">Updated through 19-Jul. Combined = task-volume-weighted pooling of HSR + Central. BLR City = city-wide aggregate across all hubs (SD-based control limit, no per-day task count available).</t>
  </si>
  <si>
    <t xml:space="preserve">View</t>
  </si>
  <si>
    <t xml:space="preserve">Metric</t>
  </si>
  <si>
    <t xml:space="preserve">Target</t>
  </si>
  <si>
    <t xml:space="preserve">Avg. Performance</t>
  </si>
  <si>
    <t xml:space="preserve">Current Center (p-bar)</t>
  </si>
  <si>
    <t xml:space="preserve">Days Meeting Target</t>
  </si>
  <si>
    <t xml:space="preserve">CUSUM Shifts Detected</t>
  </si>
  <si>
    <t xml:space="preserve">HSR</t>
  </si>
  <si>
    <t xml:space="preserve">Arrival OT %</t>
  </si>
  <si>
    <t xml:space="preserve">Availability %</t>
  </si>
  <si>
    <t xml:space="preserve">Central Hub</t>
  </si>
  <si>
    <t xml:space="preserve">Combined</t>
  </si>
  <si>
    <t xml:space="preserve">BLR City</t>
  </si>
  <si>
    <t xml:space="preserve">Arrival OT % (all hubs)</t>
  </si>
  <si>
    <t xml:space="preserve">Key takeaway</t>
  </si>
  <si>
    <t xml:space="preserve">With three more days of data (17-19 Jul), the picture is unchanged in direction: BLR City overall (94.9% avg, right at the 95% target) continues to outperform HSR (90.6%) and Central Hub (84.0%) individually. Central Hub remains the weakest link on both metrics, especially Availability (avg 60.5% vs 90% target, current CUSUM center 45.5% — still a ~45-point gap, no meaningful recovery in the last 3 days). The Combined pooled view continues to sit well below the City average. Central Hub should remain the top investigation priority.</t>
  </si>
  <si>
    <t xml:space="preserve">Combined </t>
  </si>
  <si>
    <t xml:space="preserve">HSR Hub </t>
  </si>
  <si>
    <t xml:space="preserve">Date</t>
  </si>
  <si>
    <t xml:space="preserve">Combined n (HSR+Central)</t>
  </si>
  <si>
    <t xml:space="preserve">Combined OT %</t>
  </si>
  <si>
    <t xml:space="preserve">Combined Availability %</t>
  </si>
  <si>
    <t xml:space="preserve">HSR n</t>
  </si>
  <si>
    <t xml:space="preserve">Central n</t>
  </si>
  <si>
    <t xml:space="preserve">BLR City Total Arrival </t>
  </si>
  <si>
    <t xml:space="preserve"># Total Tasks</t>
  </si>
  <si>
    <t xml:space="preserve">Overall  OT %</t>
  </si>
  <si>
    <t xml:space="preserve">Availability </t>
  </si>
  <si>
    <t xml:space="preserve">HSR — Arrival On-Time % — CUSUM Control Chart &amp; Target Analysis</t>
  </si>
  <si>
    <t xml:space="preserve">Tabular CUSUM: center line (p-bar) re-estimates once a sustained shift is detected (no UCL). k=0.5 SD allowance, H=4 SD decision interval. S(H)/S(L) floored at zero. Data pulls live from 'Raw-Data' — extend formulas down after adding new rows there.</t>
  </si>
  <si>
    <t xml:space="preserve">Sample Size (n)</t>
  </si>
  <si>
    <t xml:space="preserve">p-bar (CL)</t>
  </si>
  <si>
    <t xml:space="preserve">SD</t>
  </si>
  <si>
    <t xml:space="preserve">LCL</t>
  </si>
  <si>
    <t xml:space="preserve">Z value</t>
  </si>
  <si>
    <t xml:space="preserve">S(H)</t>
  </si>
  <si>
    <t xml:space="preserve">S(L)</t>
  </si>
  <si>
    <t xml:space="preserve">Shift detected?</t>
  </si>
  <si>
    <t xml:space="preserve">Count</t>
  </si>
  <si>
    <t xml:space="preserve">Consider in calc</t>
  </si>
  <si>
    <t xml:space="preserve">Rows</t>
  </si>
  <si>
    <t xml:space="preserve">Meets Target?</t>
  </si>
  <si>
    <t xml:space="preserve">Ignore?</t>
  </si>
  <si>
    <t xml:space="preserve">Summary statistics</t>
  </si>
  <si>
    <t xml:space="preserve">Number of days (k)</t>
  </si>
  <si>
    <t xml:space="preserve">Shifts detected (CUSUM)</t>
  </si>
  <si>
    <t xml:space="preserve">Days meeting target</t>
  </si>
  <si>
    <t xml:space="preserve">Average performance</t>
  </si>
  <si>
    <t xml:space="preserve">Average gap to target</t>
  </si>
  <si>
    <t xml:space="preserve">Current phase center (p-bar)</t>
  </si>
  <si>
    <t xml:space="preserve">Current phase LCL</t>
  </si>
  <si>
    <t xml:space="preserve">Analysis &amp; interpretation</t>
  </si>
  <si>
    <t xml:space="preserve">Methodology</t>
  </si>
  <si>
    <t xml:space="preserve">Tabular CUSUM on HSR hub data (37 days, 13-Jun to 19-Jul). Seed p-bar=90%, target=95%.</t>
  </si>
  <si>
    <t xml:space="preserve">Results</t>
  </si>
  <si>
    <t xml:space="preserve">3 shifts detected. Current center (p-bar)=92.0%, ~3 points below target. 9 of 37 days meet the 95% target. Average performance: 90.6%.</t>
  </si>
  <si>
    <t xml:space="preserve">HSR — Instant Availability % — CUSUM Control Chart &amp; Target Analysis</t>
  </si>
  <si>
    <t xml:space="preserve">Tabular CUSUM on HSR hub data. Seed p-bar=85%, target=90%.</t>
  </si>
  <si>
    <t xml:space="preserve">5 shifts detected. Current center=76.3%, ~14 points below target. 11 of 37 days meet target. Average performance: 77.4%.</t>
  </si>
  <si>
    <t xml:space="preserve">Central Hub — Arrival On-Time % — CUSUM Control Chart &amp; Target Analysis</t>
  </si>
  <si>
    <t xml:space="preserve">Tabular CUSUM on Central Hub data (32 days, 18-Jun to 19-Jul). Seed p-bar=90%, target=95%.</t>
  </si>
  <si>
    <t xml:space="preserve">3 shifts detected. Current center=79.9%, ~15 points below target. 6 of 32 days meet target. Average performance: 84.0%.</t>
  </si>
  <si>
    <t xml:space="preserve">Central Hub — Instant Availability % — CUSUM Control Chart &amp; Target Analysis</t>
  </si>
  <si>
    <t xml:space="preserve">Tabular CUSUM on Central Hub data. Seed p-bar=85%, target=90%.</t>
  </si>
  <si>
    <t xml:space="preserve">3 shifts detected. Current center=45.5%, still a ~45-point gap to target — no meaningful recovery over the last 3 days. 5 of 32 days meet target. Average performance: 60.5%. Remains the top investigation priority.</t>
  </si>
  <si>
    <t xml:space="preserve">Combined (HSR+Central) — Arrival On-Time % — CUSUM Control Chart &amp; Target Analysis</t>
  </si>
  <si>
    <t xml:space="preserve">Data statistically pooled from both hubs by task volume. Seed p-bar=90%, target=95%.</t>
  </si>
  <si>
    <t xml:space="preserve">3 shifts detected. Current center=89.8%, ~5 points below target. 4 of 37 days meet target — well below HSR alone (9/37), because Central's weaker performance pulls the pooled figure down.</t>
  </si>
  <si>
    <t xml:space="preserve">Combined (HSR+Central) — Instant Availability % — CUSUM Control Chart &amp; Target Analysis</t>
  </si>
  <si>
    <t xml:space="preserve">Same task-weighted pooling, applied to Availability%. Seed p-bar=85%, target=90%.</t>
  </si>
  <si>
    <t xml:space="preserve">5 shifts detected. Current center=70.2%, ~20 points below target. 4 of 37 days meet target — between HSR (76.3%) and Central (45.5%), pulled down by Central.</t>
  </si>
  <si>
    <t xml:space="preserve">BLR City — Overall Arrival On-Time % — CUSUM Control Chart &amp; Target Analysis</t>
  </si>
  <si>
    <t xml:space="preserve">BLR City Arrival OT %</t>
  </si>
  <si>
    <t xml:space="preserve">City-wide aggregate Arrival OT% across all Bangalore hubs. No per-day task count available, so uses an SD-based Individuals-chart control limit (p-bar ± 3×SD) rather than the binomial p-chart formula. Seed p-bar=90%, target=95%.</t>
  </si>
  <si>
    <t xml:space="preserve">3 shifts detected. Current center=94.4%, right at the 95% target. 17 of 37 days meet target (46%, vs 24% HSR, 19% Central) — the gap between BLR City and the two focus hubs remains wide and stable across the extra 3 days of data.</t>
  </si>
  <si>
    <t xml:space="preserve">CUSUM Control Charts — HSR vs Central Hub vs Combined vs BLR City</t>
  </si>
  <si>
    <t xml:space="preserve">Solid line = daily performance %; dashed orange = CUSUM center line; dashed red = LCL only (no UCL); dotted green = target. Updated through 19-Jul.</t>
  </si>
  <si>
    <t xml:space="preserve">HSR Hub</t>
  </si>
  <si>
    <t xml:space="preserve">Combined (HSR + Central, statistically pooled)</t>
  </si>
  <si>
    <t xml:space="preserve">BLR City (all-hub aggregate)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</si>
</sst>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.0%"/>
    <numFmt numFmtId="167" formatCode="0"/>
    <numFmt numFmtId="168" formatCode="dd\-mmm\-yy"/>
    <numFmt numFmtId="169" formatCode="General"/>
    <numFmt numFmtId="170" formatCode="0.00%"/>
    <numFmt numFmtId="171" formatCode="d\-mmm\-yy"/>
    <numFmt numFmtId="172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E6B55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262626"/>
      <name val="Arial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1E6B55"/>
      <name val="Arial"/>
      <family val="0"/>
      <charset val="1"/>
    </font>
    <font>
      <b val="true"/>
      <sz val="14"/>
      <color rgb="FF1E6B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E6B55"/>
        <bgColor rgb="FF008080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D9D9D9"/>
      </patternFill>
    </fill>
    <fill>
      <patternFill patternType="solid">
        <fgColor rgb="FFFFC000"/>
        <bgColor rgb="FFF7941D"/>
      </patternFill>
    </fill>
    <fill>
      <patternFill patternType="solid">
        <fgColor theme="0"/>
        <bgColor rgb="FFEFF6F2"/>
      </patternFill>
    </fill>
    <fill>
      <patternFill patternType="solid">
        <fgColor rgb="FFEFF6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7F6000"/>
        <sz val="1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8CBAD"/>
        </patternFill>
      </fill>
    </dxf>
    <dxf>
      <font>
        <name val="Arial"/>
        <charset val="1"/>
        <family val="0"/>
        <color rgb="FF1E6B55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E6B55"/>
      <rgbColor rgb="FFB7B7B7"/>
      <rgbColor rgb="FF808080"/>
      <rgbColor rgb="FF9999FF"/>
      <rgbColor rgb="FF993366"/>
      <rgbColor rgb="FFEFF6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7941D"/>
      <rgbColor rgb="FFFF6600"/>
      <rgbColor rgb="FF595959"/>
      <rgbColor rgb="FFB3B3B3"/>
      <rgbColor rgb="FF003366"/>
      <rgbColor rgb="FF17A578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HSR — Arrival On-Time % vs Target (95%)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'HSR Arrival OT'!C4</c:f>
              <c:strCache>
                <c:ptCount val="1"/>
                <c:pt idx="0">
                  <c:v>Arrival OT %</c:v>
                </c:pt>
              </c:strCache>
            </c:strRef>
          </c:tx>
          <c:spPr>
            <a:solidFill>
              <a:srgbClr val="1e6b55"/>
            </a:solidFill>
            <a:ln w="18000">
              <a:solidFill>
                <a:srgbClr val="1e6b55"/>
              </a:solidFill>
              <a:round/>
            </a:ln>
          </c:spPr>
          <c:marker>
            <c:symbol val="circle"/>
            <c:size val="5"/>
            <c:spPr>
              <a:solidFill>
                <a:srgbClr val="1e6b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'HSR Arrival OT'!$A$5:$A$41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'HSR Arrival OT'!$C$5:$C$41</c:f>
              <c:numCache>
                <c:formatCode>0.0%</c:formatCode>
                <c:ptCount val="37"/>
                <c:pt idx="0">
                  <c:v>0.939393939393939</c:v>
                </c:pt>
                <c:pt idx="1">
                  <c:v>0.9375</c:v>
                </c:pt>
                <c:pt idx="2">
                  <c:v>0.908045977011494</c:v>
                </c:pt>
                <c:pt idx="3">
                  <c:v>0.935483870967741</c:v>
                </c:pt>
                <c:pt idx="4">
                  <c:v>0.879518072289156</c:v>
                </c:pt>
                <c:pt idx="5">
                  <c:v>0.952941176470588</c:v>
                </c:pt>
                <c:pt idx="6">
                  <c:v>0.872340425531914</c:v>
                </c:pt>
                <c:pt idx="7">
                  <c:v>0.622807017543859</c:v>
                </c:pt>
                <c:pt idx="8">
                  <c:v>0.847457627118644</c:v>
                </c:pt>
                <c:pt idx="9">
                  <c:v>0.868131868131868</c:v>
                </c:pt>
                <c:pt idx="10">
                  <c:v>0.759615384615384</c:v>
                </c:pt>
                <c:pt idx="11">
                  <c:v>0.786516853932584</c:v>
                </c:pt>
                <c:pt idx="12">
                  <c:v>0.956989247311828</c:v>
                </c:pt>
                <c:pt idx="13">
                  <c:v>0.902912621359223</c:v>
                </c:pt>
                <c:pt idx="14">
                  <c:v>0.842592592592592</c:v>
                </c:pt>
                <c:pt idx="15">
                  <c:v>0.955555555555555</c:v>
                </c:pt>
                <c:pt idx="16">
                  <c:v>0.96629213483146</c:v>
                </c:pt>
                <c:pt idx="17">
                  <c:v>0.858974358974358</c:v>
                </c:pt>
                <c:pt idx="18">
                  <c:v>0.93</c:v>
                </c:pt>
                <c:pt idx="19">
                  <c:v>0.941176470588235</c:v>
                </c:pt>
                <c:pt idx="20">
                  <c:v>0.906542056074766</c:v>
                </c:pt>
                <c:pt idx="21">
                  <c:v>0.906542056074766</c:v>
                </c:pt>
                <c:pt idx="22">
                  <c:v>0.903225806451612</c:v>
                </c:pt>
                <c:pt idx="23">
                  <c:v>0.934210526315789</c:v>
                </c:pt>
                <c:pt idx="24">
                  <c:v>0.896907216494845</c:v>
                </c:pt>
                <c:pt idx="25">
                  <c:v>0.906976744186046</c:v>
                </c:pt>
                <c:pt idx="26">
                  <c:v>0.978260869565217</c:v>
                </c:pt>
                <c:pt idx="27">
                  <c:v>0.954128440366972</c:v>
                </c:pt>
                <c:pt idx="28">
                  <c:v>0.943925233644859</c:v>
                </c:pt>
                <c:pt idx="29">
                  <c:v>0.963302752293578</c:v>
                </c:pt>
                <c:pt idx="30">
                  <c:v>0.901785714285714</c:v>
                </c:pt>
                <c:pt idx="31">
                  <c:v>0.957627118644067</c:v>
                </c:pt>
                <c:pt idx="32">
                  <c:v>0.9263</c:v>
                </c:pt>
                <c:pt idx="33">
                  <c:v>0.9292</c:v>
                </c:pt>
                <c:pt idx="34">
                  <c:v>0.9896</c:v>
                </c:pt>
                <c:pt idx="35">
                  <c:v>0.928</c:v>
                </c:pt>
                <c:pt idx="36">
                  <c:v>0.9412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'HSR Arrival OT'!D4</c:f>
              <c:strCache>
                <c:ptCount val="1"/>
                <c:pt idx="0">
                  <c:v>p-bar (CL)</c:v>
                </c:pt>
              </c:strCache>
            </c:strRef>
          </c:tx>
          <c:spPr>
            <a:solidFill>
              <a:srgbClr val="f7941d"/>
            </a:solidFill>
            <a:ln w="14040">
              <a:solidFill>
                <a:srgbClr val="f7941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'HSR Arrival OT'!$A$5:$A$41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'HSR Arrival OT'!$D$5:$D$41</c:f>
              <c:numCache>
                <c:formatCode>0.0%</c:formatCode>
                <c:ptCount val="37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0.881003809901086</c:v>
                </c:pt>
                <c:pt idx="9">
                  <c:v>0.881003809901086</c:v>
                </c:pt>
                <c:pt idx="10">
                  <c:v>0.881003809901086</c:v>
                </c:pt>
                <c:pt idx="11">
                  <c:v>0.881003809901086</c:v>
                </c:pt>
                <c:pt idx="12">
                  <c:v>0.881003809901086</c:v>
                </c:pt>
                <c:pt idx="13">
                  <c:v>0.881003809901086</c:v>
                </c:pt>
                <c:pt idx="14">
                  <c:v>0.881003809901086</c:v>
                </c:pt>
                <c:pt idx="15">
                  <c:v>0.852030885008875</c:v>
                </c:pt>
                <c:pt idx="16">
                  <c:v>0.852030885008875</c:v>
                </c:pt>
                <c:pt idx="17">
                  <c:v>0.852030885008875</c:v>
                </c:pt>
                <c:pt idx="18">
                  <c:v>0.852030885008875</c:v>
                </c:pt>
                <c:pt idx="19">
                  <c:v>0.852030885008875</c:v>
                </c:pt>
                <c:pt idx="20">
                  <c:v>0.852030885008875</c:v>
                </c:pt>
                <c:pt idx="21">
                  <c:v>0.852030885008875</c:v>
                </c:pt>
                <c:pt idx="22">
                  <c:v>0.852030885008875</c:v>
                </c:pt>
                <c:pt idx="23">
                  <c:v>0.852030885008875</c:v>
                </c:pt>
                <c:pt idx="24">
                  <c:v>0.852030885008875</c:v>
                </c:pt>
                <c:pt idx="25">
                  <c:v>0.919942618136139</c:v>
                </c:pt>
                <c:pt idx="26">
                  <c:v>0.919942618136139</c:v>
                </c:pt>
                <c:pt idx="27">
                  <c:v>0.919942618136139</c:v>
                </c:pt>
                <c:pt idx="28">
                  <c:v>0.919942618136139</c:v>
                </c:pt>
                <c:pt idx="29">
                  <c:v>0.919942618136139</c:v>
                </c:pt>
                <c:pt idx="30">
                  <c:v>0.919942618136139</c:v>
                </c:pt>
                <c:pt idx="31">
                  <c:v>0.919942618136139</c:v>
                </c:pt>
                <c:pt idx="32">
                  <c:v>0.919942618136139</c:v>
                </c:pt>
                <c:pt idx="33">
                  <c:v>0.919942618136139</c:v>
                </c:pt>
                <c:pt idx="34">
                  <c:v>0.919942618136139</c:v>
                </c:pt>
                <c:pt idx="35">
                  <c:v>0.919942618136139</c:v>
                </c:pt>
                <c:pt idx="36">
                  <c:v>0.919942618136139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'HSR Arrival OT'!F4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c00000"/>
            </a:solidFill>
            <a:ln w="140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'HSR Arrival OT'!$A$5:$A$41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'HSR Arrival OT'!$F$5:$F$41</c:f>
              <c:numCache>
                <c:formatCode>0.0%</c:formatCode>
                <c:ptCount val="37"/>
                <c:pt idx="0">
                  <c:v>0.819501552810008</c:v>
                </c:pt>
                <c:pt idx="1">
                  <c:v>0.814957993572924</c:v>
                </c:pt>
                <c:pt idx="2">
                  <c:v>0.810446652881101</c:v>
                </c:pt>
                <c:pt idx="3">
                  <c:v>0.815707276957648</c:v>
                </c:pt>
                <c:pt idx="4">
                  <c:v>0.811747739187817</c:v>
                </c:pt>
                <c:pt idx="5">
                  <c:v>0.807661948312336</c:v>
                </c:pt>
                <c:pt idx="6">
                  <c:v>0.81299371598589</c:v>
                </c:pt>
                <c:pt idx="7">
                  <c:v>0.821064778262368</c:v>
                </c:pt>
                <c:pt idx="8">
                  <c:v>0.796776902284372</c:v>
                </c:pt>
                <c:pt idx="9">
                  <c:v>0.783868601476555</c:v>
                </c:pt>
                <c:pt idx="10">
                  <c:v>0.794468888444545</c:v>
                </c:pt>
                <c:pt idx="11">
                  <c:v>0.786209552913715</c:v>
                </c:pt>
                <c:pt idx="12">
                  <c:v>0.786657755221213</c:v>
                </c:pt>
                <c:pt idx="13">
                  <c:v>0.795147604189893</c:v>
                </c:pt>
                <c:pt idx="14">
                  <c:v>0.793061724283982</c:v>
                </c:pt>
                <c:pt idx="15">
                  <c:v>0.746559566353935</c:v>
                </c:pt>
                <c:pt idx="16">
                  <c:v>0.749053330790074</c:v>
                </c:pt>
                <c:pt idx="17">
                  <c:v>0.741573950180861</c:v>
                </c:pt>
                <c:pt idx="18">
                  <c:v>0.753970530712474</c:v>
                </c:pt>
                <c:pt idx="19">
                  <c:v>0.731419817778515</c:v>
                </c:pt>
                <c:pt idx="20">
                  <c:v>0.756372373423653</c:v>
                </c:pt>
                <c:pt idx="21">
                  <c:v>0.758244540983893</c:v>
                </c:pt>
                <c:pt idx="22">
                  <c:v>0.762004368915051</c:v>
                </c:pt>
                <c:pt idx="23">
                  <c:v>0.742163058033719</c:v>
                </c:pt>
                <c:pt idx="24">
                  <c:v>0.752699717169483</c:v>
                </c:pt>
                <c:pt idx="25">
                  <c:v>0.841601378744527</c:v>
                </c:pt>
                <c:pt idx="26">
                  <c:v>0.840490099985108</c:v>
                </c:pt>
                <c:pt idx="27">
                  <c:v>0.850385427611374</c:v>
                </c:pt>
                <c:pt idx="28">
                  <c:v>0.850130171008522</c:v>
                </c:pt>
                <c:pt idx="29">
                  <c:v>0.850385427611374</c:v>
                </c:pt>
                <c:pt idx="30">
                  <c:v>0.848810348199162</c:v>
                </c:pt>
                <c:pt idx="31">
                  <c:v>0.851134719022702</c:v>
                </c:pt>
                <c:pt idx="32">
                  <c:v>0.844023108284289</c:v>
                </c:pt>
                <c:pt idx="33">
                  <c:v>0.850130171008522</c:v>
                </c:pt>
                <c:pt idx="34">
                  <c:v>0.84530997285505</c:v>
                </c:pt>
                <c:pt idx="35">
                  <c:v>0.851860305898985</c:v>
                </c:pt>
                <c:pt idx="36">
                  <c:v>0.850130171008522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'HSR Arrival OT'!G4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7a578"/>
            </a:solidFill>
            <a:ln w="14040">
              <a:solidFill>
                <a:srgbClr val="17a578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'HSR Arrival OT'!$A$5:$A$41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'HSR Arrival OT'!$G$5:$G$41</c:f>
              <c:numCache>
                <c:formatCode>0%</c:formatCode>
                <c:ptCount val="3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670404"/>
        <c:axId val="99681437"/>
      </c:lineChart>
      <c:catAx>
        <c:axId val="26704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81437"/>
        <c:crosses val="autoZero"/>
        <c:auto val="1"/>
        <c:lblAlgn val="ctr"/>
        <c:lblOffset val="100"/>
        <c:noMultiLvlLbl val="0"/>
      </c:catAx>
      <c:valAx>
        <c:axId val="99681437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On-time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04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HSR — Instant Availability % vs Target (90%)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'HSR Availability'!C4</c:f>
              <c:strCache>
                <c:ptCount val="1"/>
                <c:pt idx="0">
                  <c:v>Availability %</c:v>
                </c:pt>
              </c:strCache>
            </c:strRef>
          </c:tx>
          <c:spPr>
            <a:solidFill>
              <a:srgbClr val="1e6b55"/>
            </a:solidFill>
            <a:ln w="18000">
              <a:solidFill>
                <a:srgbClr val="1e6b55"/>
              </a:solidFill>
              <a:round/>
            </a:ln>
          </c:spPr>
          <c:marker>
            <c:symbol val="circle"/>
            <c:size val="5"/>
            <c:spPr>
              <a:solidFill>
                <a:srgbClr val="1e6b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'HSR Availability'!$A$5:$A$41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'HSR Availability'!$C$5:$C$41</c:f>
              <c:numCache>
                <c:formatCode>0.0%</c:formatCode>
                <c:ptCount val="37"/>
                <c:pt idx="0">
                  <c:v>0.8824</c:v>
                </c:pt>
                <c:pt idx="1">
                  <c:v>0.9783</c:v>
                </c:pt>
                <c:pt idx="2">
                  <c:v>0.44</c:v>
                </c:pt>
                <c:pt idx="3">
                  <c:v>0.8852</c:v>
                </c:pt>
                <c:pt idx="4">
                  <c:v>0.5584</c:v>
                </c:pt>
                <c:pt idx="5">
                  <c:v>0.549</c:v>
                </c:pt>
                <c:pt idx="6">
                  <c:v>0.8316</c:v>
                </c:pt>
                <c:pt idx="7">
                  <c:v>0.7917</c:v>
                </c:pt>
                <c:pt idx="8">
                  <c:v>0.7126</c:v>
                </c:pt>
                <c:pt idx="9">
                  <c:v>0.8171</c:v>
                </c:pt>
                <c:pt idx="10">
                  <c:v>0.3404</c:v>
                </c:pt>
                <c:pt idx="11">
                  <c:v>0.4432</c:v>
                </c:pt>
                <c:pt idx="12">
                  <c:v>0.6154</c:v>
                </c:pt>
                <c:pt idx="13">
                  <c:v>0.525</c:v>
                </c:pt>
                <c:pt idx="14">
                  <c:v>0.8495</c:v>
                </c:pt>
                <c:pt idx="15">
                  <c:v>0.9655</c:v>
                </c:pt>
                <c:pt idx="16">
                  <c:v>0.8218</c:v>
                </c:pt>
                <c:pt idx="17">
                  <c:v>0.9306</c:v>
                </c:pt>
                <c:pt idx="18">
                  <c:v>0.7722</c:v>
                </c:pt>
                <c:pt idx="19">
                  <c:v>0.9278</c:v>
                </c:pt>
                <c:pt idx="20">
                  <c:v>0.7982</c:v>
                </c:pt>
                <c:pt idx="21">
                  <c:v>0.5658</c:v>
                </c:pt>
                <c:pt idx="22">
                  <c:v>0.5837</c:v>
                </c:pt>
                <c:pt idx="23">
                  <c:v>0.9799</c:v>
                </c:pt>
                <c:pt idx="24">
                  <c:v>0.8811</c:v>
                </c:pt>
                <c:pt idx="25">
                  <c:v>0.8316</c:v>
                </c:pt>
                <c:pt idx="26">
                  <c:v>0.9447</c:v>
                </c:pt>
                <c:pt idx="27">
                  <c:v>0.9924</c:v>
                </c:pt>
                <c:pt idx="28">
                  <c:v>1</c:v>
                </c:pt>
                <c:pt idx="29">
                  <c:v>0.8261</c:v>
                </c:pt>
                <c:pt idx="30">
                  <c:v>0.58</c:v>
                </c:pt>
                <c:pt idx="31">
                  <c:v>0.99</c:v>
                </c:pt>
                <c:pt idx="32">
                  <c:v>0.9502</c:v>
                </c:pt>
                <c:pt idx="33">
                  <c:v>0.697</c:v>
                </c:pt>
                <c:pt idx="34">
                  <c:v>0.8024</c:v>
                </c:pt>
                <c:pt idx="35">
                  <c:v>0.6593</c:v>
                </c:pt>
                <c:pt idx="36">
                  <c:v>0.912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'HSR Availability'!D4</c:f>
              <c:strCache>
                <c:ptCount val="1"/>
                <c:pt idx="0">
                  <c:v>p-bar (CL)</c:v>
                </c:pt>
              </c:strCache>
            </c:strRef>
          </c:tx>
          <c:spPr>
            <a:solidFill>
              <a:srgbClr val="f7941d"/>
            </a:solidFill>
            <a:ln w="14040">
              <a:solidFill>
                <a:srgbClr val="f7941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'HSR Availability'!$A$5:$A$41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'HSR Availability'!$D$5:$D$41</c:f>
              <c:numCache>
                <c:formatCode>0.0%</c:formatCode>
                <c:ptCount val="37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0.7669</c:v>
                </c:pt>
                <c:pt idx="4">
                  <c:v>0.7669</c:v>
                </c:pt>
                <c:pt idx="5">
                  <c:v>0.7669</c:v>
                </c:pt>
                <c:pt idx="6">
                  <c:v>0.7669</c:v>
                </c:pt>
                <c:pt idx="7">
                  <c:v>0.7669</c:v>
                </c:pt>
                <c:pt idx="8">
                  <c:v>0.7669</c:v>
                </c:pt>
                <c:pt idx="9">
                  <c:v>0.7669</c:v>
                </c:pt>
                <c:pt idx="10">
                  <c:v>0.735085714285714</c:v>
                </c:pt>
                <c:pt idx="11">
                  <c:v>0.735085714285714</c:v>
                </c:pt>
                <c:pt idx="12">
                  <c:v>0.735085714285714</c:v>
                </c:pt>
                <c:pt idx="13">
                  <c:v>0.620066666666667</c:v>
                </c:pt>
                <c:pt idx="14">
                  <c:v>0.620066666666667</c:v>
                </c:pt>
                <c:pt idx="15">
                  <c:v>0.620066666666667</c:v>
                </c:pt>
                <c:pt idx="16">
                  <c:v>0.620066666666667</c:v>
                </c:pt>
                <c:pt idx="17">
                  <c:v>0.620066666666667</c:v>
                </c:pt>
                <c:pt idx="18">
                  <c:v>0.620066666666667</c:v>
                </c:pt>
                <c:pt idx="19">
                  <c:v>0.620066666666667</c:v>
                </c:pt>
                <c:pt idx="20">
                  <c:v>0.827485714285714</c:v>
                </c:pt>
                <c:pt idx="21">
                  <c:v>0.827485714285714</c:v>
                </c:pt>
                <c:pt idx="22">
                  <c:v>0.827485714285714</c:v>
                </c:pt>
                <c:pt idx="23">
                  <c:v>0.76305</c:v>
                </c:pt>
                <c:pt idx="24">
                  <c:v>0.76305</c:v>
                </c:pt>
                <c:pt idx="25">
                  <c:v>0.76305</c:v>
                </c:pt>
                <c:pt idx="26">
                  <c:v>0.76305</c:v>
                </c:pt>
                <c:pt idx="27">
                  <c:v>0.76305</c:v>
                </c:pt>
                <c:pt idx="28">
                  <c:v>0.76305</c:v>
                </c:pt>
                <c:pt idx="29">
                  <c:v>0.76305</c:v>
                </c:pt>
                <c:pt idx="30">
                  <c:v>0.76305</c:v>
                </c:pt>
                <c:pt idx="31">
                  <c:v>0.76305</c:v>
                </c:pt>
                <c:pt idx="32">
                  <c:v>0.76305</c:v>
                </c:pt>
                <c:pt idx="33">
                  <c:v>0.76305</c:v>
                </c:pt>
                <c:pt idx="34">
                  <c:v>0.76305</c:v>
                </c:pt>
                <c:pt idx="35">
                  <c:v>0.76305</c:v>
                </c:pt>
                <c:pt idx="36">
                  <c:v>0.76305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'HSR Availability'!F4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c00000"/>
            </a:solidFill>
            <a:ln w="140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'HSR Availability'!$A$5:$A$41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'HSR Availability'!$F$5:$F$41</c:f>
              <c:numCache>
                <c:formatCode>0.0%</c:formatCode>
                <c:ptCount val="37"/>
                <c:pt idx="0">
                  <c:v>0.754187683463972</c:v>
                </c:pt>
                <c:pt idx="1">
                  <c:v>0.748779766280226</c:v>
                </c:pt>
                <c:pt idx="2">
                  <c:v>0.743410196835655</c:v>
                </c:pt>
                <c:pt idx="3">
                  <c:v>0.648101943795806</c:v>
                </c:pt>
                <c:pt idx="4">
                  <c:v>0.642521564214445</c:v>
                </c:pt>
                <c:pt idx="5">
                  <c:v>0.636763249658393</c:v>
                </c:pt>
                <c:pt idx="6">
                  <c:v>0.644277583196205</c:v>
                </c:pt>
                <c:pt idx="7">
                  <c:v>0.655652545059362</c:v>
                </c:pt>
                <c:pt idx="8">
                  <c:v>0.656914371752248</c:v>
                </c:pt>
                <c:pt idx="9">
                  <c:v>0.640058385771861</c:v>
                </c:pt>
                <c:pt idx="10">
                  <c:v>0.617146654071558</c:v>
                </c:pt>
                <c:pt idx="11">
                  <c:v>0.605889946905208</c:v>
                </c:pt>
                <c:pt idx="12">
                  <c:v>0.606500805019393</c:v>
                </c:pt>
                <c:pt idx="13">
                  <c:v>0.491363521066025</c:v>
                </c:pt>
                <c:pt idx="14">
                  <c:v>0.488236673064623</c:v>
                </c:pt>
                <c:pt idx="15">
                  <c:v>0.475890305437598</c:v>
                </c:pt>
                <c:pt idx="16">
                  <c:v>0.479299212112419</c:v>
                </c:pt>
                <c:pt idx="17">
                  <c:v>0.469075106694608</c:v>
                </c:pt>
                <c:pt idx="18">
                  <c:v>0.486020887742235</c:v>
                </c:pt>
                <c:pt idx="19">
                  <c:v>0.455194689915162</c:v>
                </c:pt>
                <c:pt idx="20">
                  <c:v>0.725696163739526</c:v>
                </c:pt>
                <c:pt idx="21">
                  <c:v>0.727688324095631</c:v>
                </c:pt>
                <c:pt idx="22">
                  <c:v>0.731689130598904</c:v>
                </c:pt>
                <c:pt idx="23">
                  <c:v>0.631478391898135</c:v>
                </c:pt>
                <c:pt idx="24">
                  <c:v>0.644096509728272</c:v>
                </c:pt>
                <c:pt idx="25">
                  <c:v>0.640302054497845</c:v>
                </c:pt>
                <c:pt idx="26">
                  <c:v>0.638560861919604</c:v>
                </c:pt>
                <c:pt idx="27">
                  <c:v>0.654065226487072</c:v>
                </c:pt>
                <c:pt idx="28">
                  <c:v>0.653665281020046</c:v>
                </c:pt>
                <c:pt idx="29">
                  <c:v>0.654065226487072</c:v>
                </c:pt>
                <c:pt idx="30">
                  <c:v>0.651597333926868</c:v>
                </c:pt>
                <c:pt idx="31">
                  <c:v>0.655239243927148</c:v>
                </c:pt>
                <c:pt idx="32">
                  <c:v>0.644096509728272</c:v>
                </c:pt>
                <c:pt idx="33">
                  <c:v>0.653665281020046</c:v>
                </c:pt>
                <c:pt idx="34">
                  <c:v>0.646112816636704</c:v>
                </c:pt>
                <c:pt idx="35">
                  <c:v>0.656376120226767</c:v>
                </c:pt>
                <c:pt idx="36">
                  <c:v>0.653665281020046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'HSR Availability'!G4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7a578"/>
            </a:solidFill>
            <a:ln w="14040">
              <a:solidFill>
                <a:srgbClr val="17a578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'HSR Availability'!$A$5:$A$41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'HSR Availability'!$G$5:$G$41</c:f>
              <c:numCache>
                <c:formatCode>0%</c:formatCode>
                <c:ptCount val="37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5664711"/>
        <c:axId val="89631153"/>
      </c:lineChart>
      <c:catAx>
        <c:axId val="356647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31153"/>
        <c:crosses val="autoZero"/>
        <c:auto val="1"/>
        <c:lblAlgn val="ctr"/>
        <c:lblOffset val="100"/>
        <c:noMultiLvlLbl val="0"/>
      </c:catAx>
      <c:valAx>
        <c:axId val="89631153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Availability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647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Central Hub — Arrival On-Time % vs Target (95%)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'Central Arrival OT'!C4</c:f>
              <c:strCache>
                <c:ptCount val="1"/>
                <c:pt idx="0">
                  <c:v>Arrival OT %</c:v>
                </c:pt>
              </c:strCache>
            </c:strRef>
          </c:tx>
          <c:spPr>
            <a:solidFill>
              <a:srgbClr val="1e6b55"/>
            </a:solidFill>
            <a:ln w="18000">
              <a:solidFill>
                <a:srgbClr val="1e6b55"/>
              </a:solidFill>
              <a:round/>
            </a:ln>
          </c:spPr>
          <c:marker>
            <c:symbol val="circle"/>
            <c:size val="5"/>
            <c:spPr>
              <a:solidFill>
                <a:srgbClr val="1e6b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'Central Arrival OT'!$A$5:$A$36</c:f>
              <c:strCache>
                <c:ptCount val="32"/>
                <c:pt idx="0">
                  <c:v>18-Jun-26</c:v>
                </c:pt>
                <c:pt idx="1">
                  <c:v>19-Jun-26</c:v>
                </c:pt>
                <c:pt idx="2">
                  <c:v>20-Jun-26</c:v>
                </c:pt>
                <c:pt idx="3">
                  <c:v>21-Jun-26</c:v>
                </c:pt>
                <c:pt idx="4">
                  <c:v>22-Jun-26</c:v>
                </c:pt>
                <c:pt idx="5">
                  <c:v>23-Jun-26</c:v>
                </c:pt>
                <c:pt idx="6">
                  <c:v>24-Jun-26</c:v>
                </c:pt>
                <c:pt idx="7">
                  <c:v>25-Jun-26</c:v>
                </c:pt>
                <c:pt idx="8">
                  <c:v>26-Jun-26</c:v>
                </c:pt>
                <c:pt idx="9">
                  <c:v>27-Jun-26</c:v>
                </c:pt>
                <c:pt idx="10">
                  <c:v>28-Jun-26</c:v>
                </c:pt>
                <c:pt idx="11">
                  <c:v>29-Jun-26</c:v>
                </c:pt>
                <c:pt idx="12">
                  <c:v>30-Jun-26</c:v>
                </c:pt>
                <c:pt idx="13">
                  <c:v>01-Jul-26</c:v>
                </c:pt>
                <c:pt idx="14">
                  <c:v>02-Jul-26</c:v>
                </c:pt>
                <c:pt idx="15">
                  <c:v>03-Jul-26</c:v>
                </c:pt>
                <c:pt idx="16">
                  <c:v>04-Jul-26</c:v>
                </c:pt>
                <c:pt idx="17">
                  <c:v>05-Jul-26</c:v>
                </c:pt>
                <c:pt idx="18">
                  <c:v>06-Jul-26</c:v>
                </c:pt>
                <c:pt idx="19">
                  <c:v>07-Jul-26</c:v>
                </c:pt>
                <c:pt idx="20">
                  <c:v>08-Jul-26</c:v>
                </c:pt>
                <c:pt idx="21">
                  <c:v>09-Jul-26</c:v>
                </c:pt>
                <c:pt idx="22">
                  <c:v>10-Jul-26</c:v>
                </c:pt>
                <c:pt idx="23">
                  <c:v>11-Jul-26</c:v>
                </c:pt>
                <c:pt idx="24">
                  <c:v>12-Jul-26</c:v>
                </c:pt>
                <c:pt idx="25">
                  <c:v>13-Jul-26</c:v>
                </c:pt>
                <c:pt idx="26">
                  <c:v>14-Jul-26</c:v>
                </c:pt>
                <c:pt idx="27">
                  <c:v>15-Jul-26</c:v>
                </c:pt>
                <c:pt idx="28">
                  <c:v>16-Jul-26</c:v>
                </c:pt>
                <c:pt idx="29">
                  <c:v>17-Jul-26</c:v>
                </c:pt>
                <c:pt idx="30">
                  <c:v>18-Jul-26</c:v>
                </c:pt>
                <c:pt idx="31">
                  <c:v>19-Jul-26</c:v>
                </c:pt>
              </c:strCache>
            </c:strRef>
          </c:cat>
          <c:val>
            <c:numRef>
              <c:f>'Central Arrival OT'!$C$5:$C$36</c:f>
              <c:numCache>
                <c:formatCode>0.0%</c:formatCode>
                <c:ptCount val="32"/>
                <c:pt idx="0">
                  <c:v>0.875</c:v>
                </c:pt>
                <c:pt idx="1">
                  <c:v>0.967741935483871</c:v>
                </c:pt>
                <c:pt idx="2">
                  <c:v>0.681818181818181</c:v>
                </c:pt>
                <c:pt idx="3">
                  <c:v>0.964285714285714</c:v>
                </c:pt>
                <c:pt idx="4">
                  <c:v>0.793103448275862</c:v>
                </c:pt>
                <c:pt idx="5">
                  <c:v>0.75</c:v>
                </c:pt>
                <c:pt idx="6">
                  <c:v>0.95</c:v>
                </c:pt>
                <c:pt idx="7">
                  <c:v>0.809523809523809</c:v>
                </c:pt>
                <c:pt idx="8">
                  <c:v>0.931818181818181</c:v>
                </c:pt>
                <c:pt idx="9">
                  <c:v>0.897435897435897</c:v>
                </c:pt>
                <c:pt idx="10">
                  <c:v>0.95</c:v>
                </c:pt>
                <c:pt idx="11">
                  <c:v>0.735294117647058</c:v>
                </c:pt>
                <c:pt idx="12">
                  <c:v>0.944444444444444</c:v>
                </c:pt>
                <c:pt idx="13">
                  <c:v>0.742857142857142</c:v>
                </c:pt>
                <c:pt idx="14">
                  <c:v>0.761904761904761</c:v>
                </c:pt>
                <c:pt idx="15">
                  <c:v>0.69047619047619</c:v>
                </c:pt>
                <c:pt idx="16">
                  <c:v>0.813953488372093</c:v>
                </c:pt>
                <c:pt idx="17">
                  <c:v>0.84</c:v>
                </c:pt>
                <c:pt idx="18">
                  <c:v>0.805555555555555</c:v>
                </c:pt>
                <c:pt idx="19">
                  <c:v>0.8</c:v>
                </c:pt>
                <c:pt idx="20">
                  <c:v>0.725</c:v>
                </c:pt>
                <c:pt idx="21">
                  <c:v>0.941176470588235</c:v>
                </c:pt>
                <c:pt idx="22">
                  <c:v>0.891891891891891</c:v>
                </c:pt>
                <c:pt idx="23">
                  <c:v>1</c:v>
                </c:pt>
                <c:pt idx="24">
                  <c:v>0.756097560975609</c:v>
                </c:pt>
                <c:pt idx="25">
                  <c:v>0.901960784313725</c:v>
                </c:pt>
                <c:pt idx="26">
                  <c:v>0.795454545454545</c:v>
                </c:pt>
                <c:pt idx="27">
                  <c:v>0.7222</c:v>
                </c:pt>
                <c:pt idx="28">
                  <c:v>0.7209</c:v>
                </c:pt>
                <c:pt idx="29">
                  <c:v>1</c:v>
                </c:pt>
                <c:pt idx="30">
                  <c:v>0.898</c:v>
                </c:pt>
                <c:pt idx="31">
                  <c:v>0.836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'Central Arrival OT'!D4</c:f>
              <c:strCache>
                <c:ptCount val="1"/>
                <c:pt idx="0">
                  <c:v>p-bar (CL)</c:v>
                </c:pt>
              </c:strCache>
            </c:strRef>
          </c:tx>
          <c:spPr>
            <a:solidFill>
              <a:srgbClr val="f7941d"/>
            </a:solidFill>
            <a:ln w="14040">
              <a:solidFill>
                <a:srgbClr val="f7941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'Central Arrival OT'!$A$5:$A$36</c:f>
              <c:strCache>
                <c:ptCount val="32"/>
                <c:pt idx="0">
                  <c:v>18-Jun-26</c:v>
                </c:pt>
                <c:pt idx="1">
                  <c:v>19-Jun-26</c:v>
                </c:pt>
                <c:pt idx="2">
                  <c:v>20-Jun-26</c:v>
                </c:pt>
                <c:pt idx="3">
                  <c:v>21-Jun-26</c:v>
                </c:pt>
                <c:pt idx="4">
                  <c:v>22-Jun-26</c:v>
                </c:pt>
                <c:pt idx="5">
                  <c:v>23-Jun-26</c:v>
                </c:pt>
                <c:pt idx="6">
                  <c:v>24-Jun-26</c:v>
                </c:pt>
                <c:pt idx="7">
                  <c:v>25-Jun-26</c:v>
                </c:pt>
                <c:pt idx="8">
                  <c:v>26-Jun-26</c:v>
                </c:pt>
                <c:pt idx="9">
                  <c:v>27-Jun-26</c:v>
                </c:pt>
                <c:pt idx="10">
                  <c:v>28-Jun-26</c:v>
                </c:pt>
                <c:pt idx="11">
                  <c:v>29-Jun-26</c:v>
                </c:pt>
                <c:pt idx="12">
                  <c:v>30-Jun-26</c:v>
                </c:pt>
                <c:pt idx="13">
                  <c:v>01-Jul-26</c:v>
                </c:pt>
                <c:pt idx="14">
                  <c:v>02-Jul-26</c:v>
                </c:pt>
                <c:pt idx="15">
                  <c:v>03-Jul-26</c:v>
                </c:pt>
                <c:pt idx="16">
                  <c:v>04-Jul-26</c:v>
                </c:pt>
                <c:pt idx="17">
                  <c:v>05-Jul-26</c:v>
                </c:pt>
                <c:pt idx="18">
                  <c:v>06-Jul-26</c:v>
                </c:pt>
                <c:pt idx="19">
                  <c:v>07-Jul-26</c:v>
                </c:pt>
                <c:pt idx="20">
                  <c:v>08-Jul-26</c:v>
                </c:pt>
                <c:pt idx="21">
                  <c:v>09-Jul-26</c:v>
                </c:pt>
                <c:pt idx="22">
                  <c:v>10-Jul-26</c:v>
                </c:pt>
                <c:pt idx="23">
                  <c:v>11-Jul-26</c:v>
                </c:pt>
                <c:pt idx="24">
                  <c:v>12-Jul-26</c:v>
                </c:pt>
                <c:pt idx="25">
                  <c:v>13-Jul-26</c:v>
                </c:pt>
                <c:pt idx="26">
                  <c:v>14-Jul-26</c:v>
                </c:pt>
                <c:pt idx="27">
                  <c:v>15-Jul-26</c:v>
                </c:pt>
                <c:pt idx="28">
                  <c:v>16-Jul-26</c:v>
                </c:pt>
                <c:pt idx="29">
                  <c:v>17-Jul-26</c:v>
                </c:pt>
                <c:pt idx="30">
                  <c:v>18-Jul-26</c:v>
                </c:pt>
                <c:pt idx="31">
                  <c:v>19-Jul-26</c:v>
                </c:pt>
              </c:strCache>
            </c:strRef>
          </c:cat>
          <c:val>
            <c:numRef>
              <c:f>'Central Arrival OT'!$D$5:$D$36</c:f>
              <c:numCache>
                <c:formatCode>0.0%</c:formatCode>
                <c:ptCount val="3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0.841520039100684</c:v>
                </c:pt>
                <c:pt idx="4">
                  <c:v>0.841520039100684</c:v>
                </c:pt>
                <c:pt idx="5">
                  <c:v>0.841520039100684</c:v>
                </c:pt>
                <c:pt idx="6">
                  <c:v>0.841520039100684</c:v>
                </c:pt>
                <c:pt idx="7">
                  <c:v>0.841520039100684</c:v>
                </c:pt>
                <c:pt idx="8">
                  <c:v>0.841520039100684</c:v>
                </c:pt>
                <c:pt idx="9">
                  <c:v>0.841520039100684</c:v>
                </c:pt>
                <c:pt idx="10">
                  <c:v>0.841520039100684</c:v>
                </c:pt>
                <c:pt idx="11">
                  <c:v>0.841520039100684</c:v>
                </c:pt>
                <c:pt idx="12">
                  <c:v>0.841520039100684</c:v>
                </c:pt>
                <c:pt idx="13">
                  <c:v>0.841520039100684</c:v>
                </c:pt>
                <c:pt idx="14">
                  <c:v>0.86079661420801</c:v>
                </c:pt>
                <c:pt idx="15">
                  <c:v>0.86079661420801</c:v>
                </c:pt>
                <c:pt idx="16">
                  <c:v>0.86079661420801</c:v>
                </c:pt>
                <c:pt idx="17">
                  <c:v>0.86079661420801</c:v>
                </c:pt>
                <c:pt idx="18">
                  <c:v>0.798939338009105</c:v>
                </c:pt>
                <c:pt idx="19">
                  <c:v>0.798939338009105</c:v>
                </c:pt>
                <c:pt idx="20">
                  <c:v>0.798939338009105</c:v>
                </c:pt>
                <c:pt idx="21">
                  <c:v>0.798939338009105</c:v>
                </c:pt>
                <c:pt idx="22">
                  <c:v>0.798939338009105</c:v>
                </c:pt>
                <c:pt idx="23">
                  <c:v>0.798939338009105</c:v>
                </c:pt>
                <c:pt idx="24">
                  <c:v>0.798939338009105</c:v>
                </c:pt>
                <c:pt idx="25">
                  <c:v>0.798939338009105</c:v>
                </c:pt>
                <c:pt idx="26">
                  <c:v>0.798939338009105</c:v>
                </c:pt>
                <c:pt idx="27">
                  <c:v>0.798939338009105</c:v>
                </c:pt>
                <c:pt idx="28">
                  <c:v>0.798939338009105</c:v>
                </c:pt>
                <c:pt idx="29">
                  <c:v>0.798939338009105</c:v>
                </c:pt>
                <c:pt idx="30">
                  <c:v>0.798939338009105</c:v>
                </c:pt>
                <c:pt idx="31">
                  <c:v>0.798939338009105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'Central Arrival OT'!F4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c00000"/>
            </a:solidFill>
            <a:ln w="140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'Central Arrival OT'!$A$5:$A$36</c:f>
              <c:strCache>
                <c:ptCount val="32"/>
                <c:pt idx="0">
                  <c:v>18-Jun-26</c:v>
                </c:pt>
                <c:pt idx="1">
                  <c:v>19-Jun-26</c:v>
                </c:pt>
                <c:pt idx="2">
                  <c:v>20-Jun-26</c:v>
                </c:pt>
                <c:pt idx="3">
                  <c:v>21-Jun-26</c:v>
                </c:pt>
                <c:pt idx="4">
                  <c:v>22-Jun-26</c:v>
                </c:pt>
                <c:pt idx="5">
                  <c:v>23-Jun-26</c:v>
                </c:pt>
                <c:pt idx="6">
                  <c:v>24-Jun-26</c:v>
                </c:pt>
                <c:pt idx="7">
                  <c:v>25-Jun-26</c:v>
                </c:pt>
                <c:pt idx="8">
                  <c:v>26-Jun-26</c:v>
                </c:pt>
                <c:pt idx="9">
                  <c:v>27-Jun-26</c:v>
                </c:pt>
                <c:pt idx="10">
                  <c:v>28-Jun-26</c:v>
                </c:pt>
                <c:pt idx="11">
                  <c:v>29-Jun-26</c:v>
                </c:pt>
                <c:pt idx="12">
                  <c:v>30-Jun-26</c:v>
                </c:pt>
                <c:pt idx="13">
                  <c:v>01-Jul-26</c:v>
                </c:pt>
                <c:pt idx="14">
                  <c:v>02-Jul-26</c:v>
                </c:pt>
                <c:pt idx="15">
                  <c:v>03-Jul-26</c:v>
                </c:pt>
                <c:pt idx="16">
                  <c:v>04-Jul-26</c:v>
                </c:pt>
                <c:pt idx="17">
                  <c:v>05-Jul-26</c:v>
                </c:pt>
                <c:pt idx="18">
                  <c:v>06-Jul-26</c:v>
                </c:pt>
                <c:pt idx="19">
                  <c:v>07-Jul-26</c:v>
                </c:pt>
                <c:pt idx="20">
                  <c:v>08-Jul-26</c:v>
                </c:pt>
                <c:pt idx="21">
                  <c:v>09-Jul-26</c:v>
                </c:pt>
                <c:pt idx="22">
                  <c:v>10-Jul-26</c:v>
                </c:pt>
                <c:pt idx="23">
                  <c:v>11-Jul-26</c:v>
                </c:pt>
                <c:pt idx="24">
                  <c:v>12-Jul-26</c:v>
                </c:pt>
                <c:pt idx="25">
                  <c:v>13-Jul-26</c:v>
                </c:pt>
                <c:pt idx="26">
                  <c:v>14-Jul-26</c:v>
                </c:pt>
                <c:pt idx="27">
                  <c:v>15-Jul-26</c:v>
                </c:pt>
                <c:pt idx="28">
                  <c:v>16-Jul-26</c:v>
                </c:pt>
                <c:pt idx="29">
                  <c:v>17-Jul-26</c:v>
                </c:pt>
                <c:pt idx="30">
                  <c:v>18-Jul-26</c:v>
                </c:pt>
                <c:pt idx="31">
                  <c:v>19-Jul-26</c:v>
                </c:pt>
              </c:strCache>
            </c:strRef>
          </c:cat>
          <c:val>
            <c:numRef>
              <c:f>'Central Arrival OT'!$F$5:$F$36</c:f>
              <c:numCache>
                <c:formatCode>0.0%</c:formatCode>
                <c:ptCount val="32"/>
                <c:pt idx="0">
                  <c:v>0.764319894940006</c:v>
                </c:pt>
                <c:pt idx="1">
                  <c:v>0.752040911425179</c:v>
                </c:pt>
                <c:pt idx="2">
                  <c:v>0.777525512860841</c:v>
                </c:pt>
                <c:pt idx="3">
                  <c:v>0.65633468284269</c:v>
                </c:pt>
                <c:pt idx="4">
                  <c:v>0.666088222698983</c:v>
                </c:pt>
                <c:pt idx="5">
                  <c:v>0.681714534573089</c:v>
                </c:pt>
                <c:pt idx="6">
                  <c:v>0.676356444854224</c:v>
                </c:pt>
                <c:pt idx="7">
                  <c:v>0.679986857287082</c:v>
                </c:pt>
                <c:pt idx="8">
                  <c:v>0.683387936754655</c:v>
                </c:pt>
                <c:pt idx="9">
                  <c:v>0.681714534573089</c:v>
                </c:pt>
                <c:pt idx="10">
                  <c:v>0.674446975704999</c:v>
                </c:pt>
                <c:pt idx="11">
                  <c:v>0.658924815386681</c:v>
                </c:pt>
                <c:pt idx="12">
                  <c:v>0.703491024090554</c:v>
                </c:pt>
                <c:pt idx="13">
                  <c:v>0.668295000059412</c:v>
                </c:pt>
                <c:pt idx="14">
                  <c:v>0.707681693699694</c:v>
                </c:pt>
                <c:pt idx="15">
                  <c:v>0.710905526762802</c:v>
                </c:pt>
                <c:pt idx="16">
                  <c:v>0.7194779417121</c:v>
                </c:pt>
                <c:pt idx="17">
                  <c:v>0.723247118900414</c:v>
                </c:pt>
                <c:pt idx="18">
                  <c:v>0.625390746727723</c:v>
                </c:pt>
                <c:pt idx="19">
                  <c:v>0.611159144131828</c:v>
                </c:pt>
                <c:pt idx="20">
                  <c:v>0.632199244904937</c:v>
                </c:pt>
                <c:pt idx="21">
                  <c:v>0.603887560152146</c:v>
                </c:pt>
                <c:pt idx="22">
                  <c:v>0.61340808985705</c:v>
                </c:pt>
                <c:pt idx="23">
                  <c:v>0.625390746727723</c:v>
                </c:pt>
                <c:pt idx="24">
                  <c:v>0.619699123664958</c:v>
                </c:pt>
                <c:pt idx="25">
                  <c:v>0.643712759007306</c:v>
                </c:pt>
                <c:pt idx="26">
                  <c:v>0.635316156995188</c:v>
                </c:pt>
                <c:pt idx="27">
                  <c:v>0.650936602074314</c:v>
                </c:pt>
                <c:pt idx="28">
                  <c:v>0.635316156995188</c:v>
                </c:pt>
                <c:pt idx="29">
                  <c:v>0.627170779334043</c:v>
                </c:pt>
                <c:pt idx="30">
                  <c:v>0.641059120989557</c:v>
                </c:pt>
                <c:pt idx="31">
                  <c:v>0.647453708237698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'Central Arrival OT'!G4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7a578"/>
            </a:solidFill>
            <a:ln w="14040">
              <a:solidFill>
                <a:srgbClr val="17a578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'Central Arrival OT'!$A$5:$A$36</c:f>
              <c:strCache>
                <c:ptCount val="32"/>
                <c:pt idx="0">
                  <c:v>18-Jun-26</c:v>
                </c:pt>
                <c:pt idx="1">
                  <c:v>19-Jun-26</c:v>
                </c:pt>
                <c:pt idx="2">
                  <c:v>20-Jun-26</c:v>
                </c:pt>
                <c:pt idx="3">
                  <c:v>21-Jun-26</c:v>
                </c:pt>
                <c:pt idx="4">
                  <c:v>22-Jun-26</c:v>
                </c:pt>
                <c:pt idx="5">
                  <c:v>23-Jun-26</c:v>
                </c:pt>
                <c:pt idx="6">
                  <c:v>24-Jun-26</c:v>
                </c:pt>
                <c:pt idx="7">
                  <c:v>25-Jun-26</c:v>
                </c:pt>
                <c:pt idx="8">
                  <c:v>26-Jun-26</c:v>
                </c:pt>
                <c:pt idx="9">
                  <c:v>27-Jun-26</c:v>
                </c:pt>
                <c:pt idx="10">
                  <c:v>28-Jun-26</c:v>
                </c:pt>
                <c:pt idx="11">
                  <c:v>29-Jun-26</c:v>
                </c:pt>
                <c:pt idx="12">
                  <c:v>30-Jun-26</c:v>
                </c:pt>
                <c:pt idx="13">
                  <c:v>01-Jul-26</c:v>
                </c:pt>
                <c:pt idx="14">
                  <c:v>02-Jul-26</c:v>
                </c:pt>
                <c:pt idx="15">
                  <c:v>03-Jul-26</c:v>
                </c:pt>
                <c:pt idx="16">
                  <c:v>04-Jul-26</c:v>
                </c:pt>
                <c:pt idx="17">
                  <c:v>05-Jul-26</c:v>
                </c:pt>
                <c:pt idx="18">
                  <c:v>06-Jul-26</c:v>
                </c:pt>
                <c:pt idx="19">
                  <c:v>07-Jul-26</c:v>
                </c:pt>
                <c:pt idx="20">
                  <c:v>08-Jul-26</c:v>
                </c:pt>
                <c:pt idx="21">
                  <c:v>09-Jul-26</c:v>
                </c:pt>
                <c:pt idx="22">
                  <c:v>10-Jul-26</c:v>
                </c:pt>
                <c:pt idx="23">
                  <c:v>11-Jul-26</c:v>
                </c:pt>
                <c:pt idx="24">
                  <c:v>12-Jul-26</c:v>
                </c:pt>
                <c:pt idx="25">
                  <c:v>13-Jul-26</c:v>
                </c:pt>
                <c:pt idx="26">
                  <c:v>14-Jul-26</c:v>
                </c:pt>
                <c:pt idx="27">
                  <c:v>15-Jul-26</c:v>
                </c:pt>
                <c:pt idx="28">
                  <c:v>16-Jul-26</c:v>
                </c:pt>
                <c:pt idx="29">
                  <c:v>17-Jul-26</c:v>
                </c:pt>
                <c:pt idx="30">
                  <c:v>18-Jul-26</c:v>
                </c:pt>
                <c:pt idx="31">
                  <c:v>19-Jul-26</c:v>
                </c:pt>
              </c:strCache>
            </c:strRef>
          </c:cat>
          <c:val>
            <c:numRef>
              <c:f>'Central Arrival OT'!$G$5:$G$36</c:f>
              <c:numCache>
                <c:formatCode>0%</c:formatCode>
                <c:ptCount val="3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3693285"/>
        <c:axId val="45416752"/>
      </c:lineChart>
      <c:catAx>
        <c:axId val="136932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16752"/>
        <c:crosses val="autoZero"/>
        <c:auto val="1"/>
        <c:lblAlgn val="ctr"/>
        <c:lblOffset val="100"/>
        <c:noMultiLvlLbl val="0"/>
      </c:catAx>
      <c:valAx>
        <c:axId val="45416752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On-time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932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Central Hub — Instant Availability % vs Target (90%)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'Central Availability'!C4</c:f>
              <c:strCache>
                <c:ptCount val="1"/>
                <c:pt idx="0">
                  <c:v>Availability %</c:v>
                </c:pt>
              </c:strCache>
            </c:strRef>
          </c:tx>
          <c:spPr>
            <a:solidFill>
              <a:srgbClr val="1e6b55"/>
            </a:solidFill>
            <a:ln w="18000">
              <a:solidFill>
                <a:srgbClr val="1e6b55"/>
              </a:solidFill>
              <a:round/>
            </a:ln>
          </c:spPr>
          <c:marker>
            <c:symbol val="circle"/>
            <c:size val="5"/>
            <c:spPr>
              <a:solidFill>
                <a:srgbClr val="1e6b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'Central Availability'!$A$5:$A$36</c:f>
              <c:strCache>
                <c:ptCount val="32"/>
                <c:pt idx="0">
                  <c:v>18-Jun-26</c:v>
                </c:pt>
                <c:pt idx="1">
                  <c:v>19-Jun-26</c:v>
                </c:pt>
                <c:pt idx="2">
                  <c:v>20-Jun-26</c:v>
                </c:pt>
                <c:pt idx="3">
                  <c:v>21-Jun-26</c:v>
                </c:pt>
                <c:pt idx="4">
                  <c:v>22-Jun-26</c:v>
                </c:pt>
                <c:pt idx="5">
                  <c:v>23-Jun-26</c:v>
                </c:pt>
                <c:pt idx="6">
                  <c:v>24-Jun-26</c:v>
                </c:pt>
                <c:pt idx="7">
                  <c:v>25-Jun-26</c:v>
                </c:pt>
                <c:pt idx="8">
                  <c:v>26-Jun-26</c:v>
                </c:pt>
                <c:pt idx="9">
                  <c:v>27-Jun-26</c:v>
                </c:pt>
                <c:pt idx="10">
                  <c:v>28-Jun-26</c:v>
                </c:pt>
                <c:pt idx="11">
                  <c:v>29-Jun-26</c:v>
                </c:pt>
                <c:pt idx="12">
                  <c:v>30-Jun-26</c:v>
                </c:pt>
                <c:pt idx="13">
                  <c:v>01-Jul-26</c:v>
                </c:pt>
                <c:pt idx="14">
                  <c:v>02-Jul-26</c:v>
                </c:pt>
                <c:pt idx="15">
                  <c:v>03-Jul-26</c:v>
                </c:pt>
                <c:pt idx="16">
                  <c:v>04-Jul-26</c:v>
                </c:pt>
                <c:pt idx="17">
                  <c:v>05-Jul-26</c:v>
                </c:pt>
                <c:pt idx="18">
                  <c:v>06-Jul-26</c:v>
                </c:pt>
                <c:pt idx="19">
                  <c:v>07-Jul-26</c:v>
                </c:pt>
                <c:pt idx="20">
                  <c:v>08-Jul-26</c:v>
                </c:pt>
                <c:pt idx="21">
                  <c:v>09-Jul-26</c:v>
                </c:pt>
                <c:pt idx="22">
                  <c:v>10-Jul-26</c:v>
                </c:pt>
                <c:pt idx="23">
                  <c:v>11-Jul-26</c:v>
                </c:pt>
                <c:pt idx="24">
                  <c:v>12-Jul-26</c:v>
                </c:pt>
                <c:pt idx="25">
                  <c:v>13-Jul-26</c:v>
                </c:pt>
                <c:pt idx="26">
                  <c:v>14-Jul-26</c:v>
                </c:pt>
                <c:pt idx="27">
                  <c:v>15-Jul-26</c:v>
                </c:pt>
                <c:pt idx="28">
                  <c:v>16-Jul-26</c:v>
                </c:pt>
                <c:pt idx="29">
                  <c:v>17-Jul-26</c:v>
                </c:pt>
                <c:pt idx="30">
                  <c:v>18-Jul-26</c:v>
                </c:pt>
                <c:pt idx="31">
                  <c:v>19-Jul-26</c:v>
                </c:pt>
              </c:strCache>
            </c:strRef>
          </c:cat>
          <c:val>
            <c:numRef>
              <c:f>'Central Availability'!$C$5:$C$36</c:f>
              <c:numCache>
                <c:formatCode>0.0%</c:formatCode>
                <c:ptCount val="32"/>
                <c:pt idx="0">
                  <c:v>1</c:v>
                </c:pt>
                <c:pt idx="1">
                  <c:v>0.391</c:v>
                </c:pt>
                <c:pt idx="2">
                  <c:v>0.261</c:v>
                </c:pt>
                <c:pt idx="3">
                  <c:v>0.484</c:v>
                </c:pt>
                <c:pt idx="4">
                  <c:v>0.71</c:v>
                </c:pt>
                <c:pt idx="5">
                  <c:v>0.828</c:v>
                </c:pt>
                <c:pt idx="6">
                  <c:v>0.833</c:v>
                </c:pt>
                <c:pt idx="7">
                  <c:v>0.905</c:v>
                </c:pt>
                <c:pt idx="8">
                  <c:v>0.909</c:v>
                </c:pt>
                <c:pt idx="9">
                  <c:v>0.933</c:v>
                </c:pt>
                <c:pt idx="10">
                  <c:v>0.632</c:v>
                </c:pt>
                <c:pt idx="11">
                  <c:v>0.408</c:v>
                </c:pt>
                <c:pt idx="12">
                  <c:v>0.984</c:v>
                </c:pt>
                <c:pt idx="13">
                  <c:v>0.395</c:v>
                </c:pt>
                <c:pt idx="14">
                  <c:v>0.219</c:v>
                </c:pt>
                <c:pt idx="15">
                  <c:v>0.301</c:v>
                </c:pt>
                <c:pt idx="16">
                  <c:v>0.489</c:v>
                </c:pt>
                <c:pt idx="17">
                  <c:v>0.344</c:v>
                </c:pt>
                <c:pt idx="18">
                  <c:v>0.218</c:v>
                </c:pt>
                <c:pt idx="19">
                  <c:v>0.322</c:v>
                </c:pt>
                <c:pt idx="20">
                  <c:v>0.73</c:v>
                </c:pt>
                <c:pt idx="21">
                  <c:v>0.547</c:v>
                </c:pt>
                <c:pt idx="22">
                  <c:v>0.727</c:v>
                </c:pt>
                <c:pt idx="23">
                  <c:v>0.879</c:v>
                </c:pt>
                <c:pt idx="24">
                  <c:v>0.441</c:v>
                </c:pt>
                <c:pt idx="25">
                  <c:v>0.705</c:v>
                </c:pt>
                <c:pt idx="26">
                  <c:v>0.438</c:v>
                </c:pt>
                <c:pt idx="27">
                  <c:v>0.7222</c:v>
                </c:pt>
                <c:pt idx="28">
                  <c:v>0.6219</c:v>
                </c:pt>
                <c:pt idx="29">
                  <c:v>0.686</c:v>
                </c:pt>
                <c:pt idx="30">
                  <c:v>0.6959</c:v>
                </c:pt>
                <c:pt idx="31">
                  <c:v>0.6081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'Central Availability'!D4</c:f>
              <c:strCache>
                <c:ptCount val="1"/>
                <c:pt idx="0">
                  <c:v>p-bar (CL)</c:v>
                </c:pt>
              </c:strCache>
            </c:strRef>
          </c:tx>
          <c:spPr>
            <a:solidFill>
              <a:srgbClr val="f7941d"/>
            </a:solidFill>
            <a:ln w="14040">
              <a:solidFill>
                <a:srgbClr val="f7941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'Central Availability'!$A$5:$A$36</c:f>
              <c:strCache>
                <c:ptCount val="32"/>
                <c:pt idx="0">
                  <c:v>18-Jun-26</c:v>
                </c:pt>
                <c:pt idx="1">
                  <c:v>19-Jun-26</c:v>
                </c:pt>
                <c:pt idx="2">
                  <c:v>20-Jun-26</c:v>
                </c:pt>
                <c:pt idx="3">
                  <c:v>21-Jun-26</c:v>
                </c:pt>
                <c:pt idx="4">
                  <c:v>22-Jun-26</c:v>
                </c:pt>
                <c:pt idx="5">
                  <c:v>23-Jun-26</c:v>
                </c:pt>
                <c:pt idx="6">
                  <c:v>24-Jun-26</c:v>
                </c:pt>
                <c:pt idx="7">
                  <c:v>25-Jun-26</c:v>
                </c:pt>
                <c:pt idx="8">
                  <c:v>26-Jun-26</c:v>
                </c:pt>
                <c:pt idx="9">
                  <c:v>27-Jun-26</c:v>
                </c:pt>
                <c:pt idx="10">
                  <c:v>28-Jun-26</c:v>
                </c:pt>
                <c:pt idx="11">
                  <c:v>29-Jun-26</c:v>
                </c:pt>
                <c:pt idx="12">
                  <c:v>30-Jun-26</c:v>
                </c:pt>
                <c:pt idx="13">
                  <c:v>01-Jul-26</c:v>
                </c:pt>
                <c:pt idx="14">
                  <c:v>02-Jul-26</c:v>
                </c:pt>
                <c:pt idx="15">
                  <c:v>03-Jul-26</c:v>
                </c:pt>
                <c:pt idx="16">
                  <c:v>04-Jul-26</c:v>
                </c:pt>
                <c:pt idx="17">
                  <c:v>05-Jul-26</c:v>
                </c:pt>
                <c:pt idx="18">
                  <c:v>06-Jul-26</c:v>
                </c:pt>
                <c:pt idx="19">
                  <c:v>07-Jul-26</c:v>
                </c:pt>
                <c:pt idx="20">
                  <c:v>08-Jul-26</c:v>
                </c:pt>
                <c:pt idx="21">
                  <c:v>09-Jul-26</c:v>
                </c:pt>
                <c:pt idx="22">
                  <c:v>10-Jul-26</c:v>
                </c:pt>
                <c:pt idx="23">
                  <c:v>11-Jul-26</c:v>
                </c:pt>
                <c:pt idx="24">
                  <c:v>12-Jul-26</c:v>
                </c:pt>
                <c:pt idx="25">
                  <c:v>13-Jul-26</c:v>
                </c:pt>
                <c:pt idx="26">
                  <c:v>14-Jul-26</c:v>
                </c:pt>
                <c:pt idx="27">
                  <c:v>15-Jul-26</c:v>
                </c:pt>
                <c:pt idx="28">
                  <c:v>16-Jul-26</c:v>
                </c:pt>
                <c:pt idx="29">
                  <c:v>17-Jul-26</c:v>
                </c:pt>
                <c:pt idx="30">
                  <c:v>18-Jul-26</c:v>
                </c:pt>
                <c:pt idx="31">
                  <c:v>19-Jul-26</c:v>
                </c:pt>
              </c:strCache>
            </c:strRef>
          </c:cat>
          <c:val>
            <c:numRef>
              <c:f>'Central Availability'!$D$5:$D$36</c:f>
              <c:numCache>
                <c:formatCode>0.0%</c:formatCode>
                <c:ptCount val="32"/>
                <c:pt idx="0">
                  <c:v>0.85</c:v>
                </c:pt>
                <c:pt idx="1">
                  <c:v>0.85</c:v>
                </c:pt>
                <c:pt idx="2">
                  <c:v>0.6955</c:v>
                </c:pt>
                <c:pt idx="3">
                  <c:v>0.6955</c:v>
                </c:pt>
                <c:pt idx="4">
                  <c:v>0.6955</c:v>
                </c:pt>
                <c:pt idx="5">
                  <c:v>0.6955</c:v>
                </c:pt>
                <c:pt idx="6">
                  <c:v>0.6955</c:v>
                </c:pt>
                <c:pt idx="7">
                  <c:v>0.6955</c:v>
                </c:pt>
                <c:pt idx="8">
                  <c:v>0.6955</c:v>
                </c:pt>
                <c:pt idx="9">
                  <c:v>0.6955</c:v>
                </c:pt>
                <c:pt idx="10">
                  <c:v>0.6955</c:v>
                </c:pt>
                <c:pt idx="11">
                  <c:v>0.6955</c:v>
                </c:pt>
                <c:pt idx="12">
                  <c:v>0.6955</c:v>
                </c:pt>
                <c:pt idx="13">
                  <c:v>0.6955</c:v>
                </c:pt>
                <c:pt idx="14">
                  <c:v>0.690166666666667</c:v>
                </c:pt>
                <c:pt idx="15">
                  <c:v>0.690166666666667</c:v>
                </c:pt>
                <c:pt idx="16">
                  <c:v>0.690166666666667</c:v>
                </c:pt>
                <c:pt idx="17">
                  <c:v>0.690166666666667</c:v>
                </c:pt>
                <c:pt idx="18">
                  <c:v>0.455333333333333</c:v>
                </c:pt>
                <c:pt idx="19">
                  <c:v>0.455333333333333</c:v>
                </c:pt>
                <c:pt idx="20">
                  <c:v>0.455333333333333</c:v>
                </c:pt>
                <c:pt idx="21">
                  <c:v>0.455333333333333</c:v>
                </c:pt>
                <c:pt idx="22">
                  <c:v>0.455333333333333</c:v>
                </c:pt>
                <c:pt idx="23">
                  <c:v>0.455333333333333</c:v>
                </c:pt>
                <c:pt idx="24">
                  <c:v>0.455333333333333</c:v>
                </c:pt>
                <c:pt idx="25">
                  <c:v>0.455333333333333</c:v>
                </c:pt>
                <c:pt idx="26">
                  <c:v>0.455333333333333</c:v>
                </c:pt>
                <c:pt idx="27">
                  <c:v>0.455333333333333</c:v>
                </c:pt>
                <c:pt idx="28">
                  <c:v>0.455333333333333</c:v>
                </c:pt>
                <c:pt idx="29">
                  <c:v>0.455333333333333</c:v>
                </c:pt>
                <c:pt idx="30">
                  <c:v>0.455333333333333</c:v>
                </c:pt>
                <c:pt idx="31">
                  <c:v>0.455333333333333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'Central Availability'!F4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c00000"/>
            </a:solidFill>
            <a:ln w="140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'Central Availability'!$A$5:$A$36</c:f>
              <c:strCache>
                <c:ptCount val="32"/>
                <c:pt idx="0">
                  <c:v>18-Jun-26</c:v>
                </c:pt>
                <c:pt idx="1">
                  <c:v>19-Jun-26</c:v>
                </c:pt>
                <c:pt idx="2">
                  <c:v>20-Jun-26</c:v>
                </c:pt>
                <c:pt idx="3">
                  <c:v>21-Jun-26</c:v>
                </c:pt>
                <c:pt idx="4">
                  <c:v>22-Jun-26</c:v>
                </c:pt>
                <c:pt idx="5">
                  <c:v>23-Jun-26</c:v>
                </c:pt>
                <c:pt idx="6">
                  <c:v>24-Jun-26</c:v>
                </c:pt>
                <c:pt idx="7">
                  <c:v>25-Jun-26</c:v>
                </c:pt>
                <c:pt idx="8">
                  <c:v>26-Jun-26</c:v>
                </c:pt>
                <c:pt idx="9">
                  <c:v>27-Jun-26</c:v>
                </c:pt>
                <c:pt idx="10">
                  <c:v>28-Jun-26</c:v>
                </c:pt>
                <c:pt idx="11">
                  <c:v>29-Jun-26</c:v>
                </c:pt>
                <c:pt idx="12">
                  <c:v>30-Jun-26</c:v>
                </c:pt>
                <c:pt idx="13">
                  <c:v>01-Jul-26</c:v>
                </c:pt>
                <c:pt idx="14">
                  <c:v>02-Jul-26</c:v>
                </c:pt>
                <c:pt idx="15">
                  <c:v>03-Jul-26</c:v>
                </c:pt>
                <c:pt idx="16">
                  <c:v>04-Jul-26</c:v>
                </c:pt>
                <c:pt idx="17">
                  <c:v>05-Jul-26</c:v>
                </c:pt>
                <c:pt idx="18">
                  <c:v>06-Jul-26</c:v>
                </c:pt>
                <c:pt idx="19">
                  <c:v>07-Jul-26</c:v>
                </c:pt>
                <c:pt idx="20">
                  <c:v>08-Jul-26</c:v>
                </c:pt>
                <c:pt idx="21">
                  <c:v>09-Jul-26</c:v>
                </c:pt>
                <c:pt idx="22">
                  <c:v>10-Jul-26</c:v>
                </c:pt>
                <c:pt idx="23">
                  <c:v>11-Jul-26</c:v>
                </c:pt>
                <c:pt idx="24">
                  <c:v>12-Jul-26</c:v>
                </c:pt>
                <c:pt idx="25">
                  <c:v>13-Jul-26</c:v>
                </c:pt>
                <c:pt idx="26">
                  <c:v>14-Jul-26</c:v>
                </c:pt>
                <c:pt idx="27">
                  <c:v>15-Jul-26</c:v>
                </c:pt>
                <c:pt idx="28">
                  <c:v>16-Jul-26</c:v>
                </c:pt>
                <c:pt idx="29">
                  <c:v>17-Jul-26</c:v>
                </c:pt>
                <c:pt idx="30">
                  <c:v>18-Jul-26</c:v>
                </c:pt>
                <c:pt idx="31">
                  <c:v>19-Jul-26</c:v>
                </c:pt>
              </c:strCache>
            </c:strRef>
          </c:cat>
          <c:val>
            <c:numRef>
              <c:f>'Central Availability'!$F$5:$F$36</c:f>
              <c:numCache>
                <c:formatCode>0.0%</c:formatCode>
                <c:ptCount val="32"/>
                <c:pt idx="0">
                  <c:v>0.688508373422814</c:v>
                </c:pt>
                <c:pt idx="1">
                  <c:v>0.67389345976508</c:v>
                </c:pt>
                <c:pt idx="2">
                  <c:v>0.507626039590368</c:v>
                </c:pt>
                <c:pt idx="3">
                  <c:v>0.462138370763315</c:v>
                </c:pt>
                <c:pt idx="4">
                  <c:v>0.474429309948153</c:v>
                </c:pt>
                <c:pt idx="5">
                  <c:v>0.494120832385929</c:v>
                </c:pt>
                <c:pt idx="6">
                  <c:v>0.487368826872876</c:v>
                </c:pt>
                <c:pt idx="7">
                  <c:v>0.49194369703136</c:v>
                </c:pt>
                <c:pt idx="8">
                  <c:v>0.496229572878964</c:v>
                </c:pt>
                <c:pt idx="9">
                  <c:v>0.494120832385929</c:v>
                </c:pt>
                <c:pt idx="10">
                  <c:v>0.484962606204868</c:v>
                </c:pt>
                <c:pt idx="11">
                  <c:v>0.465402330520277</c:v>
                </c:pt>
                <c:pt idx="12">
                  <c:v>0.52156251122889</c:v>
                </c:pt>
                <c:pt idx="13">
                  <c:v>0.477210184044239</c:v>
                </c:pt>
                <c:pt idx="14">
                  <c:v>0.485624242556485</c:v>
                </c:pt>
                <c:pt idx="15">
                  <c:v>0.489930881174496</c:v>
                </c:pt>
                <c:pt idx="16">
                  <c:v>0.501382557656362</c:v>
                </c:pt>
                <c:pt idx="17">
                  <c:v>0.506417707963328</c:v>
                </c:pt>
                <c:pt idx="18">
                  <c:v>0.239692621345391</c:v>
                </c:pt>
                <c:pt idx="19">
                  <c:v>0.222009314936222</c:v>
                </c:pt>
                <c:pt idx="20">
                  <c:v>0.248152438758271</c:v>
                </c:pt>
                <c:pt idx="21">
                  <c:v>0.212974095836596</c:v>
                </c:pt>
                <c:pt idx="22">
                  <c:v>0.224803715362226</c:v>
                </c:pt>
                <c:pt idx="23">
                  <c:v>0.239692621345391</c:v>
                </c:pt>
                <c:pt idx="24">
                  <c:v>0.232620563655037</c:v>
                </c:pt>
                <c:pt idx="25">
                  <c:v>0.262458417044736</c:v>
                </c:pt>
                <c:pt idx="26">
                  <c:v>0.252025320337908</c:v>
                </c:pt>
                <c:pt idx="27">
                  <c:v>0.271434316248281</c:v>
                </c:pt>
                <c:pt idx="28">
                  <c:v>0.252025320337908</c:v>
                </c:pt>
                <c:pt idx="29">
                  <c:v>0.241904379422794</c:v>
                </c:pt>
                <c:pt idx="30">
                  <c:v>0.259161171084508</c:v>
                </c:pt>
                <c:pt idx="31">
                  <c:v>0.267106688457349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'Central Availability'!G4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7a578"/>
            </a:solidFill>
            <a:ln w="14040">
              <a:solidFill>
                <a:srgbClr val="17a578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'Central Availability'!$A$5:$A$36</c:f>
              <c:strCache>
                <c:ptCount val="32"/>
                <c:pt idx="0">
                  <c:v>18-Jun-26</c:v>
                </c:pt>
                <c:pt idx="1">
                  <c:v>19-Jun-26</c:v>
                </c:pt>
                <c:pt idx="2">
                  <c:v>20-Jun-26</c:v>
                </c:pt>
                <c:pt idx="3">
                  <c:v>21-Jun-26</c:v>
                </c:pt>
                <c:pt idx="4">
                  <c:v>22-Jun-26</c:v>
                </c:pt>
                <c:pt idx="5">
                  <c:v>23-Jun-26</c:v>
                </c:pt>
                <c:pt idx="6">
                  <c:v>24-Jun-26</c:v>
                </c:pt>
                <c:pt idx="7">
                  <c:v>25-Jun-26</c:v>
                </c:pt>
                <c:pt idx="8">
                  <c:v>26-Jun-26</c:v>
                </c:pt>
                <c:pt idx="9">
                  <c:v>27-Jun-26</c:v>
                </c:pt>
                <c:pt idx="10">
                  <c:v>28-Jun-26</c:v>
                </c:pt>
                <c:pt idx="11">
                  <c:v>29-Jun-26</c:v>
                </c:pt>
                <c:pt idx="12">
                  <c:v>30-Jun-26</c:v>
                </c:pt>
                <c:pt idx="13">
                  <c:v>01-Jul-26</c:v>
                </c:pt>
                <c:pt idx="14">
                  <c:v>02-Jul-26</c:v>
                </c:pt>
                <c:pt idx="15">
                  <c:v>03-Jul-26</c:v>
                </c:pt>
                <c:pt idx="16">
                  <c:v>04-Jul-26</c:v>
                </c:pt>
                <c:pt idx="17">
                  <c:v>05-Jul-26</c:v>
                </c:pt>
                <c:pt idx="18">
                  <c:v>06-Jul-26</c:v>
                </c:pt>
                <c:pt idx="19">
                  <c:v>07-Jul-26</c:v>
                </c:pt>
                <c:pt idx="20">
                  <c:v>08-Jul-26</c:v>
                </c:pt>
                <c:pt idx="21">
                  <c:v>09-Jul-26</c:v>
                </c:pt>
                <c:pt idx="22">
                  <c:v>10-Jul-26</c:v>
                </c:pt>
                <c:pt idx="23">
                  <c:v>11-Jul-26</c:v>
                </c:pt>
                <c:pt idx="24">
                  <c:v>12-Jul-26</c:v>
                </c:pt>
                <c:pt idx="25">
                  <c:v>13-Jul-26</c:v>
                </c:pt>
                <c:pt idx="26">
                  <c:v>14-Jul-26</c:v>
                </c:pt>
                <c:pt idx="27">
                  <c:v>15-Jul-26</c:v>
                </c:pt>
                <c:pt idx="28">
                  <c:v>16-Jul-26</c:v>
                </c:pt>
                <c:pt idx="29">
                  <c:v>17-Jul-26</c:v>
                </c:pt>
                <c:pt idx="30">
                  <c:v>18-Jul-26</c:v>
                </c:pt>
                <c:pt idx="31">
                  <c:v>19-Jul-26</c:v>
                </c:pt>
              </c:strCache>
            </c:strRef>
          </c:cat>
          <c:val>
            <c:numRef>
              <c:f>'Central Availability'!$G$5:$G$36</c:f>
              <c:numCache>
                <c:formatCode>0%</c:formatCode>
                <c:ptCount val="3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7003173"/>
        <c:axId val="76700883"/>
      </c:lineChart>
      <c:catAx>
        <c:axId val="870031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00883"/>
        <c:crosses val="autoZero"/>
        <c:auto val="1"/>
        <c:lblAlgn val="ctr"/>
        <c:lblOffset val="100"/>
        <c:noMultiLvlLbl val="0"/>
      </c:catAx>
      <c:valAx>
        <c:axId val="76700883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Availability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031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Combined — Arrival On-Time % vs Target (95%)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'Combined Arrival OT'!C4</c:f>
              <c:strCache>
                <c:ptCount val="1"/>
                <c:pt idx="0">
                  <c:v>Arrival OT %</c:v>
                </c:pt>
              </c:strCache>
            </c:strRef>
          </c:tx>
          <c:spPr>
            <a:solidFill>
              <a:srgbClr val="1e6b55"/>
            </a:solidFill>
            <a:ln w="18000">
              <a:solidFill>
                <a:srgbClr val="1e6b55"/>
              </a:solidFill>
              <a:round/>
            </a:ln>
          </c:spPr>
          <c:marker>
            <c:symbol val="circle"/>
            <c:size val="5"/>
            <c:spPr>
              <a:solidFill>
                <a:srgbClr val="1e6b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'Combined Arrival OT'!$A$5:$A$41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'Combined Arrival OT'!$C$5:$C$41</c:f>
              <c:numCache>
                <c:formatCode>0.0%</c:formatCode>
                <c:ptCount val="37"/>
                <c:pt idx="0">
                  <c:v>0.939393939393939</c:v>
                </c:pt>
                <c:pt idx="1">
                  <c:v>0.9375</c:v>
                </c:pt>
                <c:pt idx="2">
                  <c:v>0.908045977011494</c:v>
                </c:pt>
                <c:pt idx="3">
                  <c:v>0.935483870967741</c:v>
                </c:pt>
                <c:pt idx="4">
                  <c:v>0.879518072289156</c:v>
                </c:pt>
                <c:pt idx="5">
                  <c:v>0.928269149386373</c:v>
                </c:pt>
                <c:pt idx="6">
                  <c:v>0.896853313505681</c:v>
                </c:pt>
                <c:pt idx="7">
                  <c:v>0.640125511406975</c:v>
                </c:pt>
                <c:pt idx="8">
                  <c:v>0.871796811945117</c:v>
                </c:pt>
                <c:pt idx="9">
                  <c:v>0.847080728747809</c:v>
                </c:pt>
                <c:pt idx="10">
                  <c:v>0.757003112494442</c:v>
                </c:pt>
                <c:pt idx="11">
                  <c:v>0.834793756126989</c:v>
                </c:pt>
                <c:pt idx="12">
                  <c:v>0.912361549033875</c:v>
                </c:pt>
                <c:pt idx="13">
                  <c:v>0.910795956029848</c:v>
                </c:pt>
                <c:pt idx="14">
                  <c:v>0.857844872637771</c:v>
                </c:pt>
                <c:pt idx="15">
                  <c:v>0.953908045977011</c:v>
                </c:pt>
                <c:pt idx="16">
                  <c:v>0.908138787847974</c:v>
                </c:pt>
                <c:pt idx="17">
                  <c:v>0.893491124260354</c:v>
                </c:pt>
                <c:pt idx="18">
                  <c:v>0.882622061482821</c:v>
                </c:pt>
                <c:pt idx="19">
                  <c:v>0.874672449625011</c:v>
                </c:pt>
                <c:pt idx="20">
                  <c:v>0.846244605210047</c:v>
                </c:pt>
                <c:pt idx="21">
                  <c:v>0.879220839375617</c:v>
                </c:pt>
                <c:pt idx="22">
                  <c:v>0.884932045194039</c:v>
                </c:pt>
                <c:pt idx="23">
                  <c:v>0.890721522115147</c:v>
                </c:pt>
                <c:pt idx="24">
                  <c:v>0.871438012159661</c:v>
                </c:pt>
                <c:pt idx="25">
                  <c:v>0.847834302325581</c:v>
                </c:pt>
                <c:pt idx="26">
                  <c:v>0.968406274032872</c:v>
                </c:pt>
                <c:pt idx="27">
                  <c:v>0.939525451339299</c:v>
                </c:pt>
                <c:pt idx="28">
                  <c:v>0.958553433563592</c:v>
                </c:pt>
                <c:pt idx="29">
                  <c:v>0.912070699495179</c:v>
                </c:pt>
                <c:pt idx="30">
                  <c:v>0.901840710106032</c:v>
                </c:pt>
                <c:pt idx="31">
                  <c:v>0.912486299302654</c:v>
                </c:pt>
                <c:pt idx="32">
                  <c:v>0.851876795580111</c:v>
                </c:pt>
                <c:pt idx="33">
                  <c:v>0.869998947368421</c:v>
                </c:pt>
                <c:pt idx="34">
                  <c:v>0.992633333333333</c:v>
                </c:pt>
                <c:pt idx="35">
                  <c:v>0.91934328358209</c:v>
                </c:pt>
                <c:pt idx="36">
                  <c:v>0.907895477386935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'Combined Arrival OT'!D4</c:f>
              <c:strCache>
                <c:ptCount val="1"/>
                <c:pt idx="0">
                  <c:v>p-bar (CL)</c:v>
                </c:pt>
              </c:strCache>
            </c:strRef>
          </c:tx>
          <c:spPr>
            <a:solidFill>
              <a:srgbClr val="f7941d"/>
            </a:solidFill>
            <a:ln w="14040">
              <a:solidFill>
                <a:srgbClr val="f7941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'Combined Arrival OT'!$A$5:$A$41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'Combined Arrival OT'!$D$5:$D$41</c:f>
              <c:numCache>
                <c:formatCode>0.0%</c:formatCode>
                <c:ptCount val="37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0.88314872924517</c:v>
                </c:pt>
                <c:pt idx="9">
                  <c:v>0.88314872924517</c:v>
                </c:pt>
                <c:pt idx="10">
                  <c:v>0.88314872924517</c:v>
                </c:pt>
                <c:pt idx="11">
                  <c:v>0.88314872924517</c:v>
                </c:pt>
                <c:pt idx="12">
                  <c:v>0.88314872924517</c:v>
                </c:pt>
                <c:pt idx="13">
                  <c:v>0.88314872924517</c:v>
                </c:pt>
                <c:pt idx="14">
                  <c:v>0.855638652396347</c:v>
                </c:pt>
                <c:pt idx="15">
                  <c:v>0.855638652396347</c:v>
                </c:pt>
                <c:pt idx="16">
                  <c:v>0.855638652396347</c:v>
                </c:pt>
                <c:pt idx="17">
                  <c:v>0.855638652396347</c:v>
                </c:pt>
                <c:pt idx="18">
                  <c:v>0.855638652396347</c:v>
                </c:pt>
                <c:pt idx="19">
                  <c:v>0.855638652396347</c:v>
                </c:pt>
                <c:pt idx="20">
                  <c:v>0.855638652396347</c:v>
                </c:pt>
                <c:pt idx="21">
                  <c:v>0.855638652396347</c:v>
                </c:pt>
                <c:pt idx="22">
                  <c:v>0.855638652396347</c:v>
                </c:pt>
                <c:pt idx="23">
                  <c:v>0.855638652396347</c:v>
                </c:pt>
                <c:pt idx="24">
                  <c:v>0.855638652396347</c:v>
                </c:pt>
                <c:pt idx="25">
                  <c:v>0.855638652396347</c:v>
                </c:pt>
                <c:pt idx="26">
                  <c:v>0.855638652396347</c:v>
                </c:pt>
                <c:pt idx="27">
                  <c:v>0.855638652396347</c:v>
                </c:pt>
                <c:pt idx="28">
                  <c:v>0.855638652396347</c:v>
                </c:pt>
                <c:pt idx="29">
                  <c:v>0.855638652396347</c:v>
                </c:pt>
                <c:pt idx="30">
                  <c:v>0.898101532915124</c:v>
                </c:pt>
                <c:pt idx="31">
                  <c:v>0.898101532915124</c:v>
                </c:pt>
                <c:pt idx="32">
                  <c:v>0.898101532915124</c:v>
                </c:pt>
                <c:pt idx="33">
                  <c:v>0.898101532915124</c:v>
                </c:pt>
                <c:pt idx="34">
                  <c:v>0.898101532915124</c:v>
                </c:pt>
                <c:pt idx="35">
                  <c:v>0.898101532915124</c:v>
                </c:pt>
                <c:pt idx="36">
                  <c:v>0.898101532915124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'Combined Arrival OT'!F4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c00000"/>
            </a:solidFill>
            <a:ln w="140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'Combined Arrival OT'!$A$5:$A$41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'Combined Arrival OT'!$F$5:$F$41</c:f>
              <c:numCache>
                <c:formatCode>0.0%</c:formatCode>
                <c:ptCount val="37"/>
                <c:pt idx="0">
                  <c:v>0.819501552810008</c:v>
                </c:pt>
                <c:pt idx="1">
                  <c:v>0.814957993572924</c:v>
                </c:pt>
                <c:pt idx="2">
                  <c:v>0.810446652881101</c:v>
                </c:pt>
                <c:pt idx="3">
                  <c:v>0.815707276957648</c:v>
                </c:pt>
                <c:pt idx="4">
                  <c:v>0.811747739187817</c:v>
                </c:pt>
                <c:pt idx="5">
                  <c:v>0.823662996328803</c:v>
                </c:pt>
                <c:pt idx="6">
                  <c:v>0.825</c:v>
                </c:pt>
                <c:pt idx="7">
                  <c:v>0.833651119730296</c:v>
                </c:pt>
                <c:pt idx="8">
                  <c:v>0.80879542762842</c:v>
                </c:pt>
                <c:pt idx="9">
                  <c:v>0.801406307798096</c:v>
                </c:pt>
                <c:pt idx="10">
                  <c:v>0.809877775072078</c:v>
                </c:pt>
                <c:pt idx="11">
                  <c:v>0.804196978560061</c:v>
                </c:pt>
                <c:pt idx="12">
                  <c:v>0.804979990478341</c:v>
                </c:pt>
                <c:pt idx="13">
                  <c:v>0.81050492744252</c:v>
                </c:pt>
                <c:pt idx="14">
                  <c:v>0.77453347777191</c:v>
                </c:pt>
                <c:pt idx="15">
                  <c:v>0.768078216507346</c:v>
                </c:pt>
                <c:pt idx="16">
                  <c:v>0.767468031871457</c:v>
                </c:pt>
                <c:pt idx="17">
                  <c:v>0.77122171019812</c:v>
                </c:pt>
                <c:pt idx="18">
                  <c:v>0.771757696202487</c:v>
                </c:pt>
                <c:pt idx="19">
                  <c:v>0.760953676398031</c:v>
                </c:pt>
                <c:pt idx="20">
                  <c:v>0.775243901747128</c:v>
                </c:pt>
                <c:pt idx="21">
                  <c:v>0.777697581049417</c:v>
                </c:pt>
                <c:pt idx="22">
                  <c:v>0.780518094796657</c:v>
                </c:pt>
                <c:pt idx="23">
                  <c:v>0.767158116608254</c:v>
                </c:pt>
                <c:pt idx="24">
                  <c:v>0.77122171019812</c:v>
                </c:pt>
                <c:pt idx="25">
                  <c:v>0.772283600798701</c:v>
                </c:pt>
                <c:pt idx="26">
                  <c:v>0.767468031871457</c:v>
                </c:pt>
                <c:pt idx="27">
                  <c:v>0.776831542562846</c:v>
                </c:pt>
                <c:pt idx="28">
                  <c:v>0.777909665990422</c:v>
                </c:pt>
                <c:pt idx="29">
                  <c:v>0.777483750547891</c:v>
                </c:pt>
                <c:pt idx="30">
                  <c:v>0.832433937273441</c:v>
                </c:pt>
                <c:pt idx="31">
                  <c:v>0.832943654649478</c:v>
                </c:pt>
                <c:pt idx="32">
                  <c:v>0.830644301716604</c:v>
                </c:pt>
                <c:pt idx="33">
                  <c:v>0.832261354595688</c:v>
                </c:pt>
                <c:pt idx="34">
                  <c:v>0.828082975620865</c:v>
                </c:pt>
                <c:pt idx="35">
                  <c:v>0.834088298687373</c:v>
                </c:pt>
                <c:pt idx="36">
                  <c:v>0.833767428334901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'Combined Arrival OT'!G4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7a578"/>
            </a:solidFill>
            <a:ln w="14040">
              <a:solidFill>
                <a:srgbClr val="17a578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'Combined Arrival OT'!$A$5:$A$41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'Combined Arrival OT'!$G$5:$G$41</c:f>
              <c:numCache>
                <c:formatCode>0%</c:formatCode>
                <c:ptCount val="3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683396"/>
        <c:axId val="24483354"/>
      </c:lineChart>
      <c:catAx>
        <c:axId val="546833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83354"/>
        <c:crosses val="autoZero"/>
        <c:auto val="1"/>
        <c:lblAlgn val="ctr"/>
        <c:lblOffset val="100"/>
        <c:noMultiLvlLbl val="0"/>
      </c:catAx>
      <c:valAx>
        <c:axId val="24483354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On-time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833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Combined — Instant Availability % vs Target (90%)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'Combined Availability'!C4</c:f>
              <c:strCache>
                <c:ptCount val="1"/>
                <c:pt idx="0">
                  <c:v>Availability %</c:v>
                </c:pt>
              </c:strCache>
            </c:strRef>
          </c:tx>
          <c:spPr>
            <a:solidFill>
              <a:srgbClr val="1e6b55"/>
            </a:solidFill>
            <a:ln w="18000">
              <a:solidFill>
                <a:srgbClr val="1e6b55"/>
              </a:solidFill>
              <a:round/>
            </a:ln>
          </c:spPr>
          <c:marker>
            <c:symbol val="circle"/>
            <c:size val="5"/>
            <c:spPr>
              <a:solidFill>
                <a:srgbClr val="1e6b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'Combined Availability'!$A$5:$A$41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'Combined Availability'!$C$5:$C$41</c:f>
              <c:numCache>
                <c:formatCode>0.0%</c:formatCode>
                <c:ptCount val="37"/>
                <c:pt idx="0">
                  <c:v>0.8824</c:v>
                </c:pt>
                <c:pt idx="1">
                  <c:v>0.9783</c:v>
                </c:pt>
                <c:pt idx="2">
                  <c:v>0.44</c:v>
                </c:pt>
                <c:pt idx="3">
                  <c:v>0.8852</c:v>
                </c:pt>
                <c:pt idx="4">
                  <c:v>0.5584</c:v>
                </c:pt>
                <c:pt idx="5">
                  <c:v>0.691762589928058</c:v>
                </c:pt>
                <c:pt idx="6">
                  <c:v>0.718390277777778</c:v>
                </c:pt>
                <c:pt idx="7">
                  <c:v>0.635951086956522</c:v>
                </c:pt>
                <c:pt idx="8">
                  <c:v>0.664975</c:v>
                </c:pt>
                <c:pt idx="9">
                  <c:v>0.78705035971223</c:v>
                </c:pt>
                <c:pt idx="10">
                  <c:v>0.47286936416185</c:v>
                </c:pt>
                <c:pt idx="11">
                  <c:v>0.558308724832215</c:v>
                </c:pt>
                <c:pt idx="12">
                  <c:v>0.703042105263158</c:v>
                </c:pt>
                <c:pt idx="13">
                  <c:v>0.629727272727273</c:v>
                </c:pt>
                <c:pt idx="14">
                  <c:v>0.872721893491124</c:v>
                </c:pt>
                <c:pt idx="15">
                  <c:v>0.8666</c:v>
                </c:pt>
                <c:pt idx="16">
                  <c:v>0.717626573426573</c:v>
                </c:pt>
                <c:pt idx="17">
                  <c:v>0.952165384615385</c:v>
                </c:pt>
                <c:pt idx="18">
                  <c:v>0.676706329113924</c:v>
                </c:pt>
                <c:pt idx="19">
                  <c:v>0.664858064516129</c:v>
                </c:pt>
                <c:pt idx="20">
                  <c:v>0.659446511627907</c:v>
                </c:pt>
                <c:pt idx="21">
                  <c:v>0.543137704918033</c:v>
                </c:pt>
                <c:pt idx="22">
                  <c:v>0.514345177664975</c:v>
                </c:pt>
                <c:pt idx="23">
                  <c:v>0.722356338028169</c:v>
                </c:pt>
                <c:pt idx="24">
                  <c:v>0.734157051282051</c:v>
                </c:pt>
                <c:pt idx="25">
                  <c:v>0.79858</c:v>
                </c:pt>
                <c:pt idx="26">
                  <c:v>0.839017482517483</c:v>
                </c:pt>
                <c:pt idx="27">
                  <c:v>0.930127374301676</c:v>
                </c:pt>
                <c:pt idx="28">
                  <c:v>0.968434782608696</c:v>
                </c:pt>
                <c:pt idx="29">
                  <c:v>0.730882967032967</c:v>
                </c:pt>
                <c:pt idx="30">
                  <c:v>0.619267015706806</c:v>
                </c:pt>
                <c:pt idx="31">
                  <c:v>0.836350515463918</c:v>
                </c:pt>
                <c:pt idx="32">
                  <c:v>0.867061878453039</c:v>
                </c:pt>
                <c:pt idx="33">
                  <c:v>0.675655789473684</c:v>
                </c:pt>
                <c:pt idx="34">
                  <c:v>0.76845</c:v>
                </c:pt>
                <c:pt idx="35">
                  <c:v>0.669861194029851</c:v>
                </c:pt>
                <c:pt idx="36">
                  <c:v>0.815790452261307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'Combined Availability'!D4</c:f>
              <c:strCache>
                <c:ptCount val="1"/>
                <c:pt idx="0">
                  <c:v>p-bar (CL)</c:v>
                </c:pt>
              </c:strCache>
            </c:strRef>
          </c:tx>
          <c:spPr>
            <a:solidFill>
              <a:srgbClr val="f7941d"/>
            </a:solidFill>
            <a:ln w="14040">
              <a:solidFill>
                <a:srgbClr val="f7941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'Combined Availability'!$A$5:$A$41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'Combined Availability'!$D$5:$D$41</c:f>
              <c:numCache>
                <c:formatCode>0.0%</c:formatCode>
                <c:ptCount val="37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0.7669</c:v>
                </c:pt>
                <c:pt idx="4">
                  <c:v>0.7669</c:v>
                </c:pt>
                <c:pt idx="5">
                  <c:v>0.7669</c:v>
                </c:pt>
                <c:pt idx="6">
                  <c:v>0.7669</c:v>
                </c:pt>
                <c:pt idx="7">
                  <c:v>0.7669</c:v>
                </c:pt>
                <c:pt idx="8">
                  <c:v>0.7669</c:v>
                </c:pt>
                <c:pt idx="9">
                  <c:v>0.692446492443726</c:v>
                </c:pt>
                <c:pt idx="10">
                  <c:v>0.692446492443726</c:v>
                </c:pt>
                <c:pt idx="11">
                  <c:v>0.692446492443726</c:v>
                </c:pt>
                <c:pt idx="12">
                  <c:v>0.639590802240099</c:v>
                </c:pt>
                <c:pt idx="13">
                  <c:v>0.639590802240099</c:v>
                </c:pt>
                <c:pt idx="14">
                  <c:v>0.639590802240099</c:v>
                </c:pt>
                <c:pt idx="15">
                  <c:v>0.639590802240099</c:v>
                </c:pt>
                <c:pt idx="16">
                  <c:v>0.639590802240099</c:v>
                </c:pt>
                <c:pt idx="17">
                  <c:v>0.639590802240099</c:v>
                </c:pt>
                <c:pt idx="18">
                  <c:v>0.790313871587252</c:v>
                </c:pt>
                <c:pt idx="19">
                  <c:v>0.790313871587252</c:v>
                </c:pt>
                <c:pt idx="20">
                  <c:v>0.790313871587252</c:v>
                </c:pt>
                <c:pt idx="21">
                  <c:v>0.790313871587252</c:v>
                </c:pt>
                <c:pt idx="22">
                  <c:v>0.702323428036325</c:v>
                </c:pt>
                <c:pt idx="23">
                  <c:v>0.702323428036325</c:v>
                </c:pt>
                <c:pt idx="24">
                  <c:v>0.702323428036325</c:v>
                </c:pt>
                <c:pt idx="25">
                  <c:v>0.702323428036325</c:v>
                </c:pt>
                <c:pt idx="26">
                  <c:v>0.702323428036325</c:v>
                </c:pt>
                <c:pt idx="27">
                  <c:v>0.702323428036325</c:v>
                </c:pt>
                <c:pt idx="28">
                  <c:v>0.702323428036325</c:v>
                </c:pt>
                <c:pt idx="29">
                  <c:v>0.702323428036325</c:v>
                </c:pt>
                <c:pt idx="30">
                  <c:v>0.702323428036325</c:v>
                </c:pt>
                <c:pt idx="31">
                  <c:v>0.702323428036325</c:v>
                </c:pt>
                <c:pt idx="32">
                  <c:v>0.702323428036325</c:v>
                </c:pt>
                <c:pt idx="33">
                  <c:v>0.702323428036325</c:v>
                </c:pt>
                <c:pt idx="34">
                  <c:v>0.702323428036325</c:v>
                </c:pt>
                <c:pt idx="35">
                  <c:v>0.702323428036325</c:v>
                </c:pt>
                <c:pt idx="36">
                  <c:v>0.702323428036325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'Combined Availability'!F4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c00000"/>
            </a:solidFill>
            <a:ln w="140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'Combined Availability'!$A$5:$A$41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'Combined Availability'!$F$5:$F$41</c:f>
              <c:numCache>
                <c:formatCode>0.0%</c:formatCode>
                <c:ptCount val="37"/>
                <c:pt idx="0">
                  <c:v>0.754187683463972</c:v>
                </c:pt>
                <c:pt idx="1">
                  <c:v>0.748779766280226</c:v>
                </c:pt>
                <c:pt idx="2">
                  <c:v>0.743410196835655</c:v>
                </c:pt>
                <c:pt idx="3">
                  <c:v>0.648101943795806</c:v>
                </c:pt>
                <c:pt idx="4">
                  <c:v>0.642521564214445</c:v>
                </c:pt>
                <c:pt idx="5">
                  <c:v>0.659314346988955</c:v>
                </c:pt>
                <c:pt idx="6">
                  <c:v>0.661198654809884</c:v>
                </c:pt>
                <c:pt idx="7">
                  <c:v>0.673391121381792</c:v>
                </c:pt>
                <c:pt idx="8">
                  <c:v>0.669039570049994</c:v>
                </c:pt>
                <c:pt idx="9">
                  <c:v>0.575019670660079</c:v>
                </c:pt>
                <c:pt idx="10">
                  <c:v>0.587189330675252</c:v>
                </c:pt>
                <c:pt idx="11">
                  <c:v>0.579028600080334</c:v>
                </c:pt>
                <c:pt idx="12">
                  <c:v>0.522762383535976</c:v>
                </c:pt>
                <c:pt idx="13">
                  <c:v>0.531019772092422</c:v>
                </c:pt>
                <c:pt idx="14">
                  <c:v>0.528794072977881</c:v>
                </c:pt>
                <c:pt idx="15">
                  <c:v>0.519975624118623</c:v>
                </c:pt>
                <c:pt idx="16">
                  <c:v>0.519142058785516</c:v>
                </c:pt>
                <c:pt idx="17">
                  <c:v>0.524269910161492</c:v>
                </c:pt>
                <c:pt idx="18">
                  <c:v>0.693156140516527</c:v>
                </c:pt>
                <c:pt idx="19">
                  <c:v>0.680642047946837</c:v>
                </c:pt>
                <c:pt idx="20">
                  <c:v>0.697194146711649</c:v>
                </c:pt>
                <c:pt idx="21">
                  <c:v>0.700036197215158</c:v>
                </c:pt>
                <c:pt idx="22">
                  <c:v>0.60459316955729</c:v>
                </c:pt>
                <c:pt idx="23">
                  <c:v>0.587212120170188</c:v>
                </c:pt>
                <c:pt idx="24">
                  <c:v>0.592498769585221</c:v>
                </c:pt>
                <c:pt idx="25">
                  <c:v>0.593880266823623</c:v>
                </c:pt>
                <c:pt idx="26">
                  <c:v>0.587615313380505</c:v>
                </c:pt>
                <c:pt idx="27">
                  <c:v>0.599797042981303</c:v>
                </c:pt>
                <c:pt idx="28">
                  <c:v>0.601199658784701</c:v>
                </c:pt>
                <c:pt idx="29">
                  <c:v>0.600645551791637</c:v>
                </c:pt>
                <c:pt idx="30">
                  <c:v>0.603070008819538</c:v>
                </c:pt>
                <c:pt idx="31">
                  <c:v>0.603840422170467</c:v>
                </c:pt>
                <c:pt idx="32">
                  <c:v>0.600365060565649</c:v>
                </c:pt>
                <c:pt idx="33">
                  <c:v>0.602809158384902</c:v>
                </c:pt>
                <c:pt idx="34">
                  <c:v>0.596493739098079</c:v>
                </c:pt>
                <c:pt idx="35">
                  <c:v>0.605570496698659</c:v>
                </c:pt>
                <c:pt idx="36">
                  <c:v>0.60508551656048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'Combined Availability'!G4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7a578"/>
            </a:solidFill>
            <a:ln w="14040">
              <a:solidFill>
                <a:srgbClr val="17a578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'Combined Availability'!$A$5:$A$41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'Combined Availability'!$G$5:$G$41</c:f>
              <c:numCache>
                <c:formatCode>0%</c:formatCode>
                <c:ptCount val="37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694546"/>
        <c:axId val="64839259"/>
      </c:lineChart>
      <c:catAx>
        <c:axId val="756945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39259"/>
        <c:crosses val="autoZero"/>
        <c:auto val="1"/>
        <c:lblAlgn val="ctr"/>
        <c:lblOffset val="100"/>
        <c:noMultiLvlLbl val="0"/>
      </c:catAx>
      <c:valAx>
        <c:axId val="64839259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Availability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945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BLR City — Overall Arrival On-Time % vs Target (95%)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'BLR City Arrival OT'!C4</c:f>
              <c:strCache>
                <c:ptCount val="1"/>
                <c:pt idx="0">
                  <c:v>BLR City Arrival OT %</c:v>
                </c:pt>
              </c:strCache>
            </c:strRef>
          </c:tx>
          <c:spPr>
            <a:solidFill>
              <a:srgbClr val="1e6b55"/>
            </a:solidFill>
            <a:ln w="18000">
              <a:solidFill>
                <a:srgbClr val="1e6b55"/>
              </a:solidFill>
              <a:round/>
            </a:ln>
          </c:spPr>
          <c:marker>
            <c:symbol val="circle"/>
            <c:size val="5"/>
            <c:spPr>
              <a:solidFill>
                <a:srgbClr val="1e6b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'BLR City Arrival OT'!$A$5:$A$41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'BLR City Arrival OT'!$C$5:$C$41</c:f>
              <c:numCache>
                <c:formatCode>0.0%</c:formatCode>
                <c:ptCount val="37"/>
                <c:pt idx="0">
                  <c:v>0.949</c:v>
                </c:pt>
                <c:pt idx="1">
                  <c:v>0.9451</c:v>
                </c:pt>
                <c:pt idx="2">
                  <c:v>0.9464</c:v>
                </c:pt>
                <c:pt idx="3">
                  <c:v>0.9419</c:v>
                </c:pt>
                <c:pt idx="4">
                  <c:v>0.9446</c:v>
                </c:pt>
                <c:pt idx="5">
                  <c:v>0.956</c:v>
                </c:pt>
                <c:pt idx="6">
                  <c:v>0.9516</c:v>
                </c:pt>
                <c:pt idx="7">
                  <c:v>0.9531</c:v>
                </c:pt>
                <c:pt idx="8">
                  <c:v>0.9418</c:v>
                </c:pt>
                <c:pt idx="9">
                  <c:v>0.9572</c:v>
                </c:pt>
                <c:pt idx="10">
                  <c:v>0.9546</c:v>
                </c:pt>
                <c:pt idx="11">
                  <c:v>0.9426</c:v>
                </c:pt>
                <c:pt idx="12">
                  <c:v>0.9545</c:v>
                </c:pt>
                <c:pt idx="13">
                  <c:v>0.9423</c:v>
                </c:pt>
                <c:pt idx="14">
                  <c:v>0.9482</c:v>
                </c:pt>
                <c:pt idx="15">
                  <c:v>0.9368</c:v>
                </c:pt>
                <c:pt idx="16">
                  <c:v>0.9502</c:v>
                </c:pt>
                <c:pt idx="17">
                  <c:v>0.9607</c:v>
                </c:pt>
                <c:pt idx="18">
                  <c:v>0.939</c:v>
                </c:pt>
                <c:pt idx="19">
                  <c:v>0.9329</c:v>
                </c:pt>
                <c:pt idx="20">
                  <c:v>0.9453</c:v>
                </c:pt>
                <c:pt idx="21">
                  <c:v>0.952</c:v>
                </c:pt>
                <c:pt idx="22">
                  <c:v>0.9518</c:v>
                </c:pt>
                <c:pt idx="23">
                  <c:v>0.938</c:v>
                </c:pt>
                <c:pt idx="24">
                  <c:v>0.9389</c:v>
                </c:pt>
                <c:pt idx="25">
                  <c:v>0.9584</c:v>
                </c:pt>
                <c:pt idx="26">
                  <c:v>0.9505</c:v>
                </c:pt>
                <c:pt idx="27">
                  <c:v>0.9522</c:v>
                </c:pt>
                <c:pt idx="28">
                  <c:v>0.9553</c:v>
                </c:pt>
                <c:pt idx="29">
                  <c:v>0.9581</c:v>
                </c:pt>
                <c:pt idx="30">
                  <c:v>0.9511</c:v>
                </c:pt>
                <c:pt idx="31">
                  <c:v>0.9482</c:v>
                </c:pt>
                <c:pt idx="32">
                  <c:v>0.9434</c:v>
                </c:pt>
                <c:pt idx="33">
                  <c:v>0.9485</c:v>
                </c:pt>
                <c:pt idx="34">
                  <c:v>0.9486</c:v>
                </c:pt>
                <c:pt idx="35">
                  <c:v>0.9579</c:v>
                </c:pt>
                <c:pt idx="36">
                  <c:v>0.9488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'BLR City Arrival OT'!D4</c:f>
              <c:strCache>
                <c:ptCount val="1"/>
                <c:pt idx="0">
                  <c:v>p-bar (CL)</c:v>
                </c:pt>
              </c:strCache>
            </c:strRef>
          </c:tx>
          <c:spPr>
            <a:solidFill>
              <a:srgbClr val="f7941d"/>
            </a:solidFill>
            <a:ln w="14040">
              <a:solidFill>
                <a:srgbClr val="f7941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'BLR City Arrival OT'!$A$5:$A$41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'BLR City Arrival OT'!$D$5:$D$41</c:f>
              <c:numCache>
                <c:formatCode>0.0%</c:formatCode>
                <c:ptCount val="37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0.94867</c:v>
                </c:pt>
                <c:pt idx="11">
                  <c:v>0.94867</c:v>
                </c:pt>
                <c:pt idx="12">
                  <c:v>0.94867</c:v>
                </c:pt>
                <c:pt idx="13">
                  <c:v>0.94867</c:v>
                </c:pt>
                <c:pt idx="14">
                  <c:v>0.94867</c:v>
                </c:pt>
                <c:pt idx="15">
                  <c:v>0.94867</c:v>
                </c:pt>
                <c:pt idx="16">
                  <c:v>0.9465</c:v>
                </c:pt>
                <c:pt idx="17">
                  <c:v>0.9465</c:v>
                </c:pt>
                <c:pt idx="18">
                  <c:v>0.9465</c:v>
                </c:pt>
                <c:pt idx="19">
                  <c:v>0.9465</c:v>
                </c:pt>
                <c:pt idx="20">
                  <c:v>0.9465</c:v>
                </c:pt>
                <c:pt idx="21">
                  <c:v>0.94415</c:v>
                </c:pt>
                <c:pt idx="22">
                  <c:v>0.94415</c:v>
                </c:pt>
                <c:pt idx="23">
                  <c:v>0.94415</c:v>
                </c:pt>
                <c:pt idx="24">
                  <c:v>0.94415</c:v>
                </c:pt>
                <c:pt idx="25">
                  <c:v>0.94415</c:v>
                </c:pt>
                <c:pt idx="26">
                  <c:v>0.94415</c:v>
                </c:pt>
                <c:pt idx="27">
                  <c:v>0.94415</c:v>
                </c:pt>
                <c:pt idx="28">
                  <c:v>0.94415</c:v>
                </c:pt>
                <c:pt idx="29">
                  <c:v>0.94415</c:v>
                </c:pt>
                <c:pt idx="30">
                  <c:v>0.94415</c:v>
                </c:pt>
                <c:pt idx="31">
                  <c:v>0.94415</c:v>
                </c:pt>
                <c:pt idx="32">
                  <c:v>0.94415</c:v>
                </c:pt>
                <c:pt idx="33">
                  <c:v>0.94415</c:v>
                </c:pt>
                <c:pt idx="34">
                  <c:v>0.94415</c:v>
                </c:pt>
                <c:pt idx="35">
                  <c:v>0.94415</c:v>
                </c:pt>
                <c:pt idx="36">
                  <c:v>0.94415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'BLR City Arrival OT'!F4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c00000"/>
            </a:solidFill>
            <a:ln w="140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'BLR City Arrival OT'!$A$5:$A$41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'BLR City Arrival OT'!$F$5:$F$41</c:f>
              <c:numCache>
                <c:formatCode>0.0%</c:formatCode>
                <c:ptCount val="37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0.931868184621893</c:v>
                </c:pt>
                <c:pt idx="11">
                  <c:v>0.931868184621893</c:v>
                </c:pt>
                <c:pt idx="12">
                  <c:v>0.931868184621893</c:v>
                </c:pt>
                <c:pt idx="13">
                  <c:v>0.931868184621893</c:v>
                </c:pt>
                <c:pt idx="14">
                  <c:v>0.931868184621893</c:v>
                </c:pt>
                <c:pt idx="15">
                  <c:v>0.931868184621893</c:v>
                </c:pt>
                <c:pt idx="16">
                  <c:v>0.924890002313744</c:v>
                </c:pt>
                <c:pt idx="17">
                  <c:v>0.924890002313744</c:v>
                </c:pt>
                <c:pt idx="18">
                  <c:v>0.924890002313744</c:v>
                </c:pt>
                <c:pt idx="19">
                  <c:v>0.924890002313744</c:v>
                </c:pt>
                <c:pt idx="20">
                  <c:v>0.924890002313744</c:v>
                </c:pt>
                <c:pt idx="21">
                  <c:v>0.913587228528813</c:v>
                </c:pt>
                <c:pt idx="22">
                  <c:v>0.913587228528813</c:v>
                </c:pt>
                <c:pt idx="23">
                  <c:v>0.913587228528813</c:v>
                </c:pt>
                <c:pt idx="24">
                  <c:v>0.913587228528813</c:v>
                </c:pt>
                <c:pt idx="25">
                  <c:v>0.913587228528813</c:v>
                </c:pt>
                <c:pt idx="26">
                  <c:v>0.913587228528813</c:v>
                </c:pt>
                <c:pt idx="27">
                  <c:v>0.913587228528813</c:v>
                </c:pt>
                <c:pt idx="28">
                  <c:v>0.913587228528813</c:v>
                </c:pt>
                <c:pt idx="29">
                  <c:v>0.913587228528813</c:v>
                </c:pt>
                <c:pt idx="30">
                  <c:v>0.913587228528813</c:v>
                </c:pt>
                <c:pt idx="31">
                  <c:v>0.913587228528813</c:v>
                </c:pt>
                <c:pt idx="32">
                  <c:v>0.913587228528813</c:v>
                </c:pt>
                <c:pt idx="33">
                  <c:v>0.913587228528813</c:v>
                </c:pt>
                <c:pt idx="34">
                  <c:v>0.913587228528813</c:v>
                </c:pt>
                <c:pt idx="35">
                  <c:v>0.913587228528813</c:v>
                </c:pt>
                <c:pt idx="36">
                  <c:v>0.913587228528813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'BLR City Arrival OT'!G4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7a578"/>
            </a:solidFill>
            <a:ln w="14040">
              <a:solidFill>
                <a:srgbClr val="17a578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'BLR City Arrival OT'!$A$5:$A$41</c:f>
              <c:strCache>
                <c:ptCount val="37"/>
                <c:pt idx="0">
                  <c:v>13-Jun-26</c:v>
                </c:pt>
                <c:pt idx="1">
                  <c:v>14-Jun-26</c:v>
                </c:pt>
                <c:pt idx="2">
                  <c:v>15-Jun-26</c:v>
                </c:pt>
                <c:pt idx="3">
                  <c:v>16-Jun-26</c:v>
                </c:pt>
                <c:pt idx="4">
                  <c:v>17-Jun-26</c:v>
                </c:pt>
                <c:pt idx="5">
                  <c:v>18-Jun-26</c:v>
                </c:pt>
                <c:pt idx="6">
                  <c:v>19-Jun-26</c:v>
                </c:pt>
                <c:pt idx="7">
                  <c:v>20-Jun-26</c:v>
                </c:pt>
                <c:pt idx="8">
                  <c:v>21-Jun-26</c:v>
                </c:pt>
                <c:pt idx="9">
                  <c:v>22-Jun-26</c:v>
                </c:pt>
                <c:pt idx="10">
                  <c:v>23-Jun-26</c:v>
                </c:pt>
                <c:pt idx="11">
                  <c:v>24-Jun-26</c:v>
                </c:pt>
                <c:pt idx="12">
                  <c:v>25-Jun-26</c:v>
                </c:pt>
                <c:pt idx="13">
                  <c:v>26-Jun-26</c:v>
                </c:pt>
                <c:pt idx="14">
                  <c:v>27-Jun-26</c:v>
                </c:pt>
                <c:pt idx="15">
                  <c:v>28-Jun-26</c:v>
                </c:pt>
                <c:pt idx="16">
                  <c:v>29-Jun-26</c:v>
                </c:pt>
                <c:pt idx="17">
                  <c:v>30-Jun-26</c:v>
                </c:pt>
                <c:pt idx="18">
                  <c:v>01-Jul-26</c:v>
                </c:pt>
                <c:pt idx="19">
                  <c:v>02-Jul-26</c:v>
                </c:pt>
                <c:pt idx="20">
                  <c:v>03-Jul-26</c:v>
                </c:pt>
                <c:pt idx="21">
                  <c:v>04-Jul-26</c:v>
                </c:pt>
                <c:pt idx="22">
                  <c:v>05-Jul-26</c:v>
                </c:pt>
                <c:pt idx="23">
                  <c:v>06-Jul-26</c:v>
                </c:pt>
                <c:pt idx="24">
                  <c:v>07-Jul-26</c:v>
                </c:pt>
                <c:pt idx="25">
                  <c:v>08-Jul-26</c:v>
                </c:pt>
                <c:pt idx="26">
                  <c:v>09-Jul-26</c:v>
                </c:pt>
                <c:pt idx="27">
                  <c:v>10-Jul-26</c:v>
                </c:pt>
                <c:pt idx="28">
                  <c:v>11-Jul-26</c:v>
                </c:pt>
                <c:pt idx="29">
                  <c:v>12-Jul-26</c:v>
                </c:pt>
                <c:pt idx="30">
                  <c:v>13-Jul-26</c:v>
                </c:pt>
                <c:pt idx="31">
                  <c:v>14-Jul-26</c:v>
                </c:pt>
                <c:pt idx="32">
                  <c:v>15-Jul-26</c:v>
                </c:pt>
                <c:pt idx="33">
                  <c:v>16-Jul-26</c:v>
                </c:pt>
                <c:pt idx="34">
                  <c:v>17-Jul-26</c:v>
                </c:pt>
                <c:pt idx="35">
                  <c:v>18-Jul-26</c:v>
                </c:pt>
                <c:pt idx="36">
                  <c:v>19-Jul-26</c:v>
                </c:pt>
              </c:strCache>
            </c:strRef>
          </c:cat>
          <c:val>
            <c:numRef>
              <c:f>'BLR City Arrival OT'!$G$5:$G$41</c:f>
              <c:numCache>
                <c:formatCode>0%</c:formatCode>
                <c:ptCount val="3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0687383"/>
        <c:axId val="90034319"/>
      </c:lineChart>
      <c:catAx>
        <c:axId val="706873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34319"/>
        <c:crosses val="autoZero"/>
        <c:auto val="1"/>
        <c:lblAlgn val="ctr"/>
        <c:lblOffset val="100"/>
        <c:noMultiLvlLbl val="0"/>
      </c:catAx>
      <c:valAx>
        <c:axId val="90034319"/>
        <c:scaling>
          <c:orientation val="minMax"/>
          <c:max val="1"/>
          <c:min val="0.8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On-time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873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160920</xdr:rowOff>
    </xdr:from>
    <xdr:to>
      <xdr:col>15</xdr:col>
      <xdr:colOff>187200</xdr:colOff>
      <xdr:row>20</xdr:row>
      <xdr:rowOff>162000</xdr:rowOff>
    </xdr:to>
    <xdr:graphicFrame>
      <xdr:nvGraphicFramePr>
        <xdr:cNvPr id="0" name="Chart 1"/>
        <xdr:cNvGraphicFramePr/>
      </xdr:nvGraphicFramePr>
      <xdr:xfrm>
        <a:off x="0" y="76212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</xdr:row>
      <xdr:rowOff>160920</xdr:rowOff>
    </xdr:from>
    <xdr:to>
      <xdr:col>25</xdr:col>
      <xdr:colOff>186840</xdr:colOff>
      <xdr:row>20</xdr:row>
      <xdr:rowOff>162000</xdr:rowOff>
    </xdr:to>
    <xdr:graphicFrame>
      <xdr:nvGraphicFramePr>
        <xdr:cNvPr id="1" name="Chart 2"/>
        <xdr:cNvGraphicFramePr/>
      </xdr:nvGraphicFramePr>
      <xdr:xfrm>
        <a:off x="6114960" y="76212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160560</xdr:rowOff>
    </xdr:from>
    <xdr:to>
      <xdr:col>15</xdr:col>
      <xdr:colOff>187200</xdr:colOff>
      <xdr:row>40</xdr:row>
      <xdr:rowOff>161640</xdr:rowOff>
    </xdr:to>
    <xdr:graphicFrame>
      <xdr:nvGraphicFramePr>
        <xdr:cNvPr id="2" name="Chart 3"/>
        <xdr:cNvGraphicFramePr/>
      </xdr:nvGraphicFramePr>
      <xdr:xfrm>
        <a:off x="0" y="457200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23</xdr:row>
      <xdr:rowOff>160560</xdr:rowOff>
    </xdr:from>
    <xdr:to>
      <xdr:col>25</xdr:col>
      <xdr:colOff>186840</xdr:colOff>
      <xdr:row>40</xdr:row>
      <xdr:rowOff>161640</xdr:rowOff>
    </xdr:to>
    <xdr:graphicFrame>
      <xdr:nvGraphicFramePr>
        <xdr:cNvPr id="3" name="Chart 4"/>
        <xdr:cNvGraphicFramePr/>
      </xdr:nvGraphicFramePr>
      <xdr:xfrm>
        <a:off x="6114960" y="457200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43</xdr:row>
      <xdr:rowOff>160560</xdr:rowOff>
    </xdr:from>
    <xdr:to>
      <xdr:col>15</xdr:col>
      <xdr:colOff>187200</xdr:colOff>
      <xdr:row>60</xdr:row>
      <xdr:rowOff>161640</xdr:rowOff>
    </xdr:to>
    <xdr:graphicFrame>
      <xdr:nvGraphicFramePr>
        <xdr:cNvPr id="4" name="Chart 5"/>
        <xdr:cNvGraphicFramePr/>
      </xdr:nvGraphicFramePr>
      <xdr:xfrm>
        <a:off x="0" y="838188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43</xdr:row>
      <xdr:rowOff>160560</xdr:rowOff>
    </xdr:from>
    <xdr:to>
      <xdr:col>25</xdr:col>
      <xdr:colOff>186840</xdr:colOff>
      <xdr:row>60</xdr:row>
      <xdr:rowOff>161640</xdr:rowOff>
    </xdr:to>
    <xdr:graphicFrame>
      <xdr:nvGraphicFramePr>
        <xdr:cNvPr id="5" name="Chart 6"/>
        <xdr:cNvGraphicFramePr/>
      </xdr:nvGraphicFramePr>
      <xdr:xfrm>
        <a:off x="6114960" y="838188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63</xdr:row>
      <xdr:rowOff>160920</xdr:rowOff>
    </xdr:from>
    <xdr:to>
      <xdr:col>15</xdr:col>
      <xdr:colOff>187200</xdr:colOff>
      <xdr:row>80</xdr:row>
      <xdr:rowOff>162000</xdr:rowOff>
    </xdr:to>
    <xdr:graphicFrame>
      <xdr:nvGraphicFramePr>
        <xdr:cNvPr id="6" name="Chart 7"/>
        <xdr:cNvGraphicFramePr/>
      </xdr:nvGraphicFramePr>
      <xdr:xfrm>
        <a:off x="0" y="1219212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7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6" t="n">
        <f aca="false">'HSR Arrival OT'!S5</f>
        <v>0.95</v>
      </c>
      <c r="D5" s="7" t="n">
        <f aca="false">'HSR Arrival OT'!S9</f>
        <v>0.906269722395099</v>
      </c>
      <c r="E5" s="7" t="n">
        <f aca="false">'HSR Arrival OT'!S11</f>
        <v>0.919942618136139</v>
      </c>
      <c r="F5" s="5" t="str">
        <f aca="false">'HSR Arrival OT'!S8</f>
        <v>9/37</v>
      </c>
      <c r="G5" s="8" t="n">
        <f aca="false">'HSR Arrival OT'!S7</f>
        <v>3</v>
      </c>
    </row>
    <row r="6" customFormat="false" ht="15" hidden="false" customHeight="false" outlineLevel="0" collapsed="false">
      <c r="A6" s="4" t="s">
        <v>9</v>
      </c>
      <c r="B6" s="5" t="s">
        <v>11</v>
      </c>
      <c r="C6" s="6" t="n">
        <f aca="false">'HSR Availability'!S5</f>
        <v>0.9</v>
      </c>
      <c r="D6" s="7" t="n">
        <f aca="false">'HSR Availability'!S9</f>
        <v>0.773840540540541</v>
      </c>
      <c r="E6" s="7" t="n">
        <f aca="false">'HSR Availability'!S11</f>
        <v>0.76305</v>
      </c>
      <c r="F6" s="5" t="str">
        <f aca="false">'HSR Availability'!S8</f>
        <v>11/37</v>
      </c>
      <c r="G6" s="8" t="n">
        <f aca="false">'HSR Availability'!S7</f>
        <v>5</v>
      </c>
    </row>
    <row r="7" customFormat="false" ht="15" hidden="false" customHeight="false" outlineLevel="0" collapsed="false">
      <c r="A7" s="9" t="s">
        <v>12</v>
      </c>
      <c r="B7" s="10" t="s">
        <v>10</v>
      </c>
      <c r="C7" s="11" t="n">
        <f aca="false">'Central Arrival OT'!S5</f>
        <v>0.95</v>
      </c>
      <c r="D7" s="12" t="n">
        <f aca="false">'Central Arrival OT'!S9</f>
        <v>0.840434191347586</v>
      </c>
      <c r="E7" s="12" t="n">
        <f aca="false">'Central Arrival OT'!S11</f>
        <v>0.798939338009105</v>
      </c>
      <c r="F7" s="10" t="str">
        <f aca="false">'Central Arrival OT'!S8</f>
        <v>6/32</v>
      </c>
      <c r="G7" s="13" t="n">
        <f aca="false">'Central Arrival OT'!S7</f>
        <v>3</v>
      </c>
    </row>
    <row r="8" customFormat="false" ht="15" hidden="false" customHeight="false" outlineLevel="0" collapsed="false">
      <c r="A8" s="9" t="s">
        <v>12</v>
      </c>
      <c r="B8" s="10" t="s">
        <v>11</v>
      </c>
      <c r="C8" s="11" t="n">
        <f aca="false">'Central Availability'!S5</f>
        <v>0.9</v>
      </c>
      <c r="D8" s="12" t="n">
        <f aca="false">'Central Availability'!S9</f>
        <v>0.605221875</v>
      </c>
      <c r="E8" s="12" t="n">
        <f aca="false">'Central Availability'!S11</f>
        <v>0.455333333333333</v>
      </c>
      <c r="F8" s="10" t="str">
        <f aca="false">'Central Availability'!S8</f>
        <v>5/32</v>
      </c>
      <c r="G8" s="13" t="n">
        <f aca="false">'Central Availability'!S7</f>
        <v>3</v>
      </c>
    </row>
    <row r="9" customFormat="false" ht="15" hidden="false" customHeight="false" outlineLevel="0" collapsed="false">
      <c r="A9" s="4" t="s">
        <v>13</v>
      </c>
      <c r="B9" s="5" t="s">
        <v>10</v>
      </c>
      <c r="C9" s="6" t="n">
        <f aca="false">'Combined Arrival OT'!S5</f>
        <v>0.95</v>
      </c>
      <c r="D9" s="7" t="n">
        <f aca="false">'Combined Arrival OT'!S9</f>
        <v>0.889857327611919</v>
      </c>
      <c r="E9" s="7" t="n">
        <f aca="false">'Combined Arrival OT'!S11</f>
        <v>0.898101532915124</v>
      </c>
      <c r="F9" s="5" t="str">
        <f aca="false">'Combined Arrival OT'!S8</f>
        <v>4/37</v>
      </c>
      <c r="G9" s="8" t="n">
        <f aca="false">'Combined Arrival OT'!S7</f>
        <v>3</v>
      </c>
    </row>
    <row r="10" customFormat="false" ht="15" hidden="false" customHeight="false" outlineLevel="0" collapsed="false">
      <c r="A10" s="4" t="s">
        <v>13</v>
      </c>
      <c r="B10" s="5" t="s">
        <v>11</v>
      </c>
      <c r="C10" s="6" t="n">
        <f aca="false">'Combined Availability'!S5</f>
        <v>0.9</v>
      </c>
      <c r="D10" s="7" t="n">
        <f aca="false">'Combined Availability'!S9</f>
        <v>0.731080466537643</v>
      </c>
      <c r="E10" s="7" t="n">
        <f aca="false">'Combined Availability'!S11</f>
        <v>0.702323428036325</v>
      </c>
      <c r="F10" s="5" t="str">
        <f aca="false">'Combined Availability'!S8</f>
        <v>4/37</v>
      </c>
      <c r="G10" s="8" t="n">
        <f aca="false">'Combined Availability'!S7</f>
        <v>5</v>
      </c>
    </row>
    <row r="11" customFormat="false" ht="15" hidden="false" customHeight="false" outlineLevel="0" collapsed="false">
      <c r="A11" s="14" t="s">
        <v>14</v>
      </c>
      <c r="B11" s="15" t="s">
        <v>15</v>
      </c>
      <c r="C11" s="16" t="n">
        <f aca="false">'BLR City Arrival OT'!S5</f>
        <v>0.95</v>
      </c>
      <c r="D11" s="17" t="n">
        <f aca="false">'BLR City Arrival OT'!S9</f>
        <v>0.948527027027027</v>
      </c>
      <c r="E11" s="17" t="n">
        <f aca="false">'BLR City Arrival OT'!S11</f>
        <v>0.94415</v>
      </c>
      <c r="F11" s="15" t="str">
        <f aca="false">'BLR City Arrival OT'!S8</f>
        <v>17/37</v>
      </c>
      <c r="G11" s="18" t="n">
        <f aca="false">'BLR City Arrival OT'!S7</f>
        <v>3</v>
      </c>
    </row>
    <row r="13" customFormat="false" ht="15" hidden="false" customHeight="false" outlineLevel="0" collapsed="false">
      <c r="A13" s="19" t="s">
        <v>16</v>
      </c>
    </row>
    <row r="14" customFormat="false" ht="15" hidden="false" customHeight="true" outlineLevel="0" collapsed="false">
      <c r="A14" s="20" t="s">
        <v>17</v>
      </c>
      <c r="B14" s="20"/>
      <c r="C14" s="20"/>
      <c r="D14" s="20"/>
      <c r="E14" s="20"/>
      <c r="F14" s="20"/>
      <c r="G14" s="20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</row>
  </sheetData>
  <mergeCells count="3">
    <mergeCell ref="A1:G1"/>
    <mergeCell ref="A2:G2"/>
    <mergeCell ref="A14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G3" activeCellId="0" sqref="G3"/>
    </sheetView>
  </sheetViews>
  <sheetFormatPr defaultColWidth="13.00390625" defaultRowHeight="14.25" zeroHeight="false" outlineLevelRow="0" outlineLevelCol="0"/>
  <cols>
    <col collapsed="false" customWidth="false" hidden="false" outlineLevel="0" max="16384" min="1" style="21" width="13"/>
  </cols>
  <sheetData>
    <row r="1" customFormat="false" ht="14.25" hidden="false" customHeight="true" outlineLevel="0" collapsed="false">
      <c r="A1" s="22" t="s">
        <v>18</v>
      </c>
      <c r="I1" s="23" t="s">
        <v>19</v>
      </c>
      <c r="J1" s="23"/>
      <c r="K1" s="23"/>
      <c r="L1" s="23"/>
      <c r="N1" s="23" t="s">
        <v>12</v>
      </c>
      <c r="O1" s="23"/>
      <c r="P1" s="23"/>
      <c r="Q1" s="23"/>
    </row>
    <row r="2" customFormat="false" ht="25.5" hidden="false" customHeight="true" outlineLevel="0" collapsed="false">
      <c r="A2" s="24" t="s">
        <v>20</v>
      </c>
      <c r="B2" s="24" t="s">
        <v>21</v>
      </c>
      <c r="C2" s="25" t="s">
        <v>22</v>
      </c>
      <c r="D2" s="25" t="s">
        <v>23</v>
      </c>
      <c r="E2" s="25" t="s">
        <v>24</v>
      </c>
      <c r="F2" s="26" t="s">
        <v>25</v>
      </c>
      <c r="G2" s="27" t="s">
        <v>26</v>
      </c>
      <c r="I2" s="28" t="s">
        <v>20</v>
      </c>
      <c r="J2" s="28" t="s">
        <v>27</v>
      </c>
      <c r="K2" s="28" t="s">
        <v>28</v>
      </c>
      <c r="L2" s="28" t="s">
        <v>11</v>
      </c>
      <c r="N2" s="28" t="s">
        <v>20</v>
      </c>
      <c r="O2" s="28" t="s">
        <v>27</v>
      </c>
      <c r="P2" s="28" t="s">
        <v>28</v>
      </c>
      <c r="Q2" s="28" t="s">
        <v>29</v>
      </c>
    </row>
    <row r="3" s="34" customFormat="true" ht="25.5" hidden="false" customHeight="true" outlineLevel="0" collapsed="false">
      <c r="A3" s="29" t="n">
        <f aca="false">I3</f>
        <v>46222</v>
      </c>
      <c r="B3" s="30" t="n">
        <f aca="false">J3+IF(O3="",0,O3)</f>
        <v>199</v>
      </c>
      <c r="C3" s="31" t="n">
        <f aca="false">(J3*K3+IF(O3="",0,O3*P3))/B3</f>
        <v>0.907895477386935</v>
      </c>
      <c r="D3" s="31" t="n">
        <f aca="false">(J3*L3+IF(O3="",0,O3*Q3))/B3</f>
        <v>0.815790452261307</v>
      </c>
      <c r="E3" s="31" t="n">
        <f aca="false">J3</f>
        <v>136</v>
      </c>
      <c r="F3" s="32" t="n">
        <f aca="false">IF(O3="",0,O3)</f>
        <v>63</v>
      </c>
      <c r="G3" s="33" t="n">
        <v>0.9488</v>
      </c>
      <c r="I3" s="35" t="n">
        <v>46222</v>
      </c>
      <c r="J3" s="21" t="n">
        <v>136</v>
      </c>
      <c r="K3" s="36" t="n">
        <v>0.9412</v>
      </c>
      <c r="L3" s="37" t="n">
        <v>0.912</v>
      </c>
      <c r="N3" s="35" t="n">
        <v>46222</v>
      </c>
      <c r="O3" s="21" t="n">
        <v>63</v>
      </c>
      <c r="P3" s="38" t="n">
        <v>0.836</v>
      </c>
      <c r="Q3" s="39" t="n">
        <v>0.6081</v>
      </c>
    </row>
    <row r="4" s="34" customFormat="true" ht="25.5" hidden="false" customHeight="true" outlineLevel="0" collapsed="false">
      <c r="A4" s="29" t="n">
        <f aca="false">I4</f>
        <v>46221</v>
      </c>
      <c r="B4" s="30" t="n">
        <f aca="false">J4+IF(O4="",0,O4)</f>
        <v>201</v>
      </c>
      <c r="C4" s="31" t="n">
        <f aca="false">(J4*K4+IF(O4="",0,O4*P4))/B4</f>
        <v>0.91934328358209</v>
      </c>
      <c r="D4" s="31" t="n">
        <f aca="false">(J4*L4+IF(O4="",0,O4*Q4))/B4</f>
        <v>0.669861194029851</v>
      </c>
      <c r="E4" s="31" t="n">
        <f aca="false">J4</f>
        <v>143</v>
      </c>
      <c r="F4" s="32" t="n">
        <f aca="false">IF(O4="",0,O4)</f>
        <v>58</v>
      </c>
      <c r="G4" s="33" t="n">
        <v>0.9579</v>
      </c>
      <c r="I4" s="35" t="n">
        <v>46221</v>
      </c>
      <c r="J4" s="21" t="n">
        <v>143</v>
      </c>
      <c r="K4" s="36" t="n">
        <v>0.928</v>
      </c>
      <c r="L4" s="37" t="n">
        <v>0.6593</v>
      </c>
      <c r="N4" s="35" t="n">
        <v>46221</v>
      </c>
      <c r="O4" s="21" t="n">
        <v>58</v>
      </c>
      <c r="P4" s="38" t="n">
        <v>0.898</v>
      </c>
      <c r="Q4" s="39" t="n">
        <v>0.6959</v>
      </c>
    </row>
    <row r="5" s="34" customFormat="true" ht="25.5" hidden="false" customHeight="true" outlineLevel="0" collapsed="false">
      <c r="A5" s="29" t="n">
        <f aca="false">I5</f>
        <v>46220</v>
      </c>
      <c r="B5" s="30" t="n">
        <f aca="false">J5+IF(O5="",0,O5)</f>
        <v>168</v>
      </c>
      <c r="C5" s="31" t="n">
        <f aca="false">(J5*K5+IF(O5="",0,O5*P5))/B5</f>
        <v>0.992633333333333</v>
      </c>
      <c r="D5" s="31" t="n">
        <f aca="false">(J5*L5+IF(O5="",0,O5*Q5))/B5</f>
        <v>0.76845</v>
      </c>
      <c r="E5" s="31" t="n">
        <f aca="false">J5</f>
        <v>119</v>
      </c>
      <c r="F5" s="32" t="n">
        <f aca="false">IF(O5="",0,O5)</f>
        <v>49</v>
      </c>
      <c r="G5" s="33" t="n">
        <v>0.9486</v>
      </c>
      <c r="I5" s="35" t="n">
        <v>46220</v>
      </c>
      <c r="J5" s="21" t="n">
        <v>119</v>
      </c>
      <c r="K5" s="36" t="n">
        <v>0.9896</v>
      </c>
      <c r="L5" s="37" t="n">
        <v>0.8024</v>
      </c>
      <c r="N5" s="35" t="n">
        <v>46220</v>
      </c>
      <c r="O5" s="21" t="n">
        <v>49</v>
      </c>
      <c r="P5" s="38" t="n">
        <v>1</v>
      </c>
      <c r="Q5" s="39" t="n">
        <v>0.686</v>
      </c>
    </row>
    <row r="6" s="34" customFormat="true" ht="25.5" hidden="false" customHeight="true" outlineLevel="0" collapsed="false">
      <c r="A6" s="29" t="n">
        <f aca="false">I6</f>
        <v>46219</v>
      </c>
      <c r="B6" s="30" t="n">
        <f aca="false">J6+IF(O6="",0,O6)</f>
        <v>190</v>
      </c>
      <c r="C6" s="31" t="n">
        <f aca="false">(J6*K6+IF(O6="",0,O6*P6))/B6</f>
        <v>0.869998947368421</v>
      </c>
      <c r="D6" s="31" t="n">
        <f aca="false">(J6*L6+IF(O6="",0,O6*Q6))/B6</f>
        <v>0.675655789473684</v>
      </c>
      <c r="E6" s="40" t="n">
        <v>136</v>
      </c>
      <c r="F6" s="41" t="n">
        <f aca="false">IF(O6="",0,O6)</f>
        <v>54</v>
      </c>
      <c r="G6" s="33" t="n">
        <v>0.9485</v>
      </c>
      <c r="I6" s="35" t="n">
        <v>46219</v>
      </c>
      <c r="J6" s="21" t="n">
        <v>136</v>
      </c>
      <c r="K6" s="36" t="n">
        <v>0.9292</v>
      </c>
      <c r="L6" s="37" t="n">
        <v>0.697</v>
      </c>
      <c r="N6" s="35" t="n">
        <v>46219</v>
      </c>
      <c r="O6" s="21" t="n">
        <v>54</v>
      </c>
      <c r="P6" s="38" t="n">
        <v>0.7209</v>
      </c>
      <c r="Q6" s="39" t="n">
        <v>0.6219</v>
      </c>
    </row>
    <row r="7" s="34" customFormat="true" ht="25.5" hidden="false" customHeight="true" outlineLevel="0" collapsed="false">
      <c r="A7" s="29" t="n">
        <f aca="false">I7</f>
        <v>46218</v>
      </c>
      <c r="B7" s="30" t="n">
        <f aca="false">J7+IF(O7="",0,O7)</f>
        <v>181</v>
      </c>
      <c r="C7" s="31" t="n">
        <f aca="false">(J7*K7+IF(O7="",0,O7*P7))/B7</f>
        <v>0.851876795580111</v>
      </c>
      <c r="D7" s="31" t="n">
        <f aca="false">(J7*L7+IF(O7="",0,O7*Q7))/B7</f>
        <v>0.867061878453039</v>
      </c>
      <c r="E7" s="40" t="n">
        <f aca="false">J7</f>
        <v>115</v>
      </c>
      <c r="F7" s="41" t="n">
        <f aca="false">IF(O7="",0,O7)</f>
        <v>66</v>
      </c>
      <c r="G7" s="33" t="n">
        <v>0.9434</v>
      </c>
      <c r="I7" s="35" t="n">
        <v>46218</v>
      </c>
      <c r="J7" s="21" t="n">
        <v>115</v>
      </c>
      <c r="K7" s="36" t="n">
        <v>0.9263</v>
      </c>
      <c r="L7" s="37" t="n">
        <v>0.9502</v>
      </c>
      <c r="N7" s="35" t="n">
        <v>46218</v>
      </c>
      <c r="O7" s="21" t="n">
        <v>66</v>
      </c>
      <c r="P7" s="38" t="n">
        <v>0.7222</v>
      </c>
      <c r="Q7" s="39" t="n">
        <v>0.7222</v>
      </c>
    </row>
    <row r="8" customFormat="false" ht="15" hidden="false" customHeight="true" outlineLevel="0" collapsed="false">
      <c r="A8" s="29" t="n">
        <f aca="false">I8</f>
        <v>46217</v>
      </c>
      <c r="B8" s="42" t="n">
        <f aca="false">J8+IF(O8="",0,O8)</f>
        <v>194</v>
      </c>
      <c r="C8" s="43" t="n">
        <f aca="false">(J8*K8+IF(O8="",0,O8*P8))/B8</f>
        <v>0.912486299302654</v>
      </c>
      <c r="D8" s="43" t="n">
        <f aca="false">(J8*L8+IF(O8="",0,O8*Q8))/B8</f>
        <v>0.836350515463918</v>
      </c>
      <c r="E8" s="42" t="n">
        <f aca="false">J8</f>
        <v>140</v>
      </c>
      <c r="F8" s="44" t="n">
        <f aca="false">IF(O8="",0,O8)</f>
        <v>54</v>
      </c>
      <c r="G8" s="33" t="n">
        <v>0.9482</v>
      </c>
      <c r="I8" s="35" t="n">
        <v>46217</v>
      </c>
      <c r="J8" s="21" t="n">
        <v>140</v>
      </c>
      <c r="K8" s="36" t="n">
        <v>0.957627118644067</v>
      </c>
      <c r="L8" s="37" t="n">
        <v>0.99</v>
      </c>
      <c r="N8" s="35" t="n">
        <v>46217</v>
      </c>
      <c r="O8" s="21" t="n">
        <v>54</v>
      </c>
      <c r="P8" s="38" t="n">
        <v>0.795454545454545</v>
      </c>
      <c r="Q8" s="39" t="n">
        <v>0.438</v>
      </c>
    </row>
    <row r="9" customFormat="false" ht="15" hidden="false" customHeight="true" outlineLevel="0" collapsed="false">
      <c r="A9" s="29" t="n">
        <f aca="false">I9</f>
        <v>46216</v>
      </c>
      <c r="B9" s="42" t="n">
        <f aca="false">J9+IF(O9="",0,O9)</f>
        <v>191</v>
      </c>
      <c r="C9" s="43" t="n">
        <f aca="false">(J9*K9+IF(O9="",0,O9*P9))/B9</f>
        <v>0.901840710106032</v>
      </c>
      <c r="D9" s="43" t="n">
        <f aca="false">(J9*L9+IF(O9="",0,O9*Q9))/B9</f>
        <v>0.619267015706806</v>
      </c>
      <c r="E9" s="42" t="n">
        <f aca="false">J9</f>
        <v>131</v>
      </c>
      <c r="F9" s="44" t="n">
        <f aca="false">IF(O9="",0,O9)</f>
        <v>60</v>
      </c>
      <c r="G9" s="33" t="n">
        <v>0.9511</v>
      </c>
      <c r="I9" s="35" t="n">
        <v>46216</v>
      </c>
      <c r="J9" s="21" t="n">
        <v>131</v>
      </c>
      <c r="K9" s="36" t="n">
        <v>0.901785714285714</v>
      </c>
      <c r="L9" s="37" t="n">
        <v>0.58</v>
      </c>
      <c r="N9" s="35" t="n">
        <v>46216</v>
      </c>
      <c r="O9" s="21" t="n">
        <v>60</v>
      </c>
      <c r="P9" s="38" t="n">
        <v>0.901960784313725</v>
      </c>
      <c r="Q9" s="39" t="n">
        <v>0.705</v>
      </c>
    </row>
    <row r="10" customFormat="false" ht="15" hidden="false" customHeight="true" outlineLevel="0" collapsed="false">
      <c r="A10" s="29" t="n">
        <f aca="false">I10</f>
        <v>46215</v>
      </c>
      <c r="B10" s="42" t="n">
        <f aca="false">J10+IF(O10="",0,O10)</f>
        <v>182</v>
      </c>
      <c r="C10" s="43" t="n">
        <f aca="false">(J10*K10+IF(O10="",0,O10*P10))/B10</f>
        <v>0.912070699495179</v>
      </c>
      <c r="D10" s="43" t="n">
        <f aca="false">(J10*L10+IF(O10="",0,O10*Q10))/B10</f>
        <v>0.730882967032967</v>
      </c>
      <c r="E10" s="42" t="n">
        <f aca="false">J10</f>
        <v>137</v>
      </c>
      <c r="F10" s="44" t="n">
        <f aca="false">IF(O10="",0,O10)</f>
        <v>45</v>
      </c>
      <c r="G10" s="33" t="n">
        <v>0.9581</v>
      </c>
      <c r="H10" s="22"/>
      <c r="I10" s="35" t="n">
        <v>46215</v>
      </c>
      <c r="J10" s="21" t="n">
        <v>137</v>
      </c>
      <c r="K10" s="36" t="n">
        <v>0.963302752293578</v>
      </c>
      <c r="L10" s="37" t="n">
        <v>0.8261</v>
      </c>
      <c r="N10" s="35" t="n">
        <v>46215</v>
      </c>
      <c r="O10" s="21" t="n">
        <v>45</v>
      </c>
      <c r="P10" s="38" t="n">
        <v>0.756097560975609</v>
      </c>
      <c r="Q10" s="39" t="n">
        <v>0.441</v>
      </c>
    </row>
    <row r="11" customFormat="false" ht="15" hidden="false" customHeight="true" outlineLevel="0" collapsed="false">
      <c r="A11" s="29" t="n">
        <f aca="false">I11</f>
        <v>46214</v>
      </c>
      <c r="B11" s="42" t="n">
        <f aca="false">J11+IF(O11="",0,O11)</f>
        <v>184</v>
      </c>
      <c r="C11" s="43" t="n">
        <f aca="false">(J11*K11+IF(O11="",0,O11*P11))/B11</f>
        <v>0.958553433563592</v>
      </c>
      <c r="D11" s="43" t="n">
        <f aca="false">(J11*L11+IF(O11="",0,O11*Q11))/B11</f>
        <v>0.968434782608696</v>
      </c>
      <c r="E11" s="42" t="n">
        <f aca="false">J11</f>
        <v>136</v>
      </c>
      <c r="F11" s="44" t="n">
        <f aca="false">IF(O11="",0,O11)</f>
        <v>48</v>
      </c>
      <c r="G11" s="33" t="n">
        <v>0.9553</v>
      </c>
      <c r="I11" s="35" t="n">
        <v>46214</v>
      </c>
      <c r="J11" s="21" t="n">
        <v>136</v>
      </c>
      <c r="K11" s="36" t="n">
        <v>0.943925233644859</v>
      </c>
      <c r="L11" s="37" t="n">
        <v>1</v>
      </c>
      <c r="N11" s="35" t="n">
        <v>46214</v>
      </c>
      <c r="O11" s="21" t="n">
        <v>48</v>
      </c>
      <c r="P11" s="38" t="n">
        <v>1</v>
      </c>
      <c r="Q11" s="39" t="n">
        <v>0.879</v>
      </c>
    </row>
    <row r="12" customFormat="false" ht="15" hidden="false" customHeight="true" outlineLevel="0" collapsed="false">
      <c r="A12" s="29" t="n">
        <f aca="false">I12</f>
        <v>46213</v>
      </c>
      <c r="B12" s="42" t="n">
        <f aca="false">J12+IF(O12="",0,O12)</f>
        <v>179</v>
      </c>
      <c r="C12" s="43" t="n">
        <f aca="false">(J12*K12+IF(O12="",0,O12*P12))/B12</f>
        <v>0.939525451339299</v>
      </c>
      <c r="D12" s="43" t="n">
        <f aca="false">(J12*L12+IF(O12="",0,O12*Q12))/B12</f>
        <v>0.930127374301676</v>
      </c>
      <c r="E12" s="42" t="n">
        <f aca="false">J12</f>
        <v>137</v>
      </c>
      <c r="F12" s="44" t="n">
        <f aca="false">IF(O12="",0,O12)</f>
        <v>42</v>
      </c>
      <c r="G12" s="33" t="n">
        <v>0.9522</v>
      </c>
      <c r="I12" s="35" t="n">
        <v>46213</v>
      </c>
      <c r="J12" s="21" t="n">
        <v>137</v>
      </c>
      <c r="K12" s="36" t="n">
        <v>0.954128440366972</v>
      </c>
      <c r="L12" s="37" t="n">
        <v>0.9924</v>
      </c>
      <c r="N12" s="35" t="n">
        <v>46213</v>
      </c>
      <c r="O12" s="21" t="n">
        <v>42</v>
      </c>
      <c r="P12" s="38" t="n">
        <v>0.891891891891891</v>
      </c>
      <c r="Q12" s="39" t="n">
        <v>0.727</v>
      </c>
    </row>
    <row r="13" customFormat="false" ht="15" hidden="false" customHeight="true" outlineLevel="0" collapsed="false">
      <c r="A13" s="29" t="n">
        <f aca="false">I13</f>
        <v>46212</v>
      </c>
      <c r="B13" s="42" t="n">
        <f aca="false">J13+IF(O13="",0,O13)</f>
        <v>143</v>
      </c>
      <c r="C13" s="43" t="n">
        <f aca="false">(J13*K13+IF(O13="",0,O13*P13))/B13</f>
        <v>0.968406274032872</v>
      </c>
      <c r="D13" s="43" t="n">
        <f aca="false">(J13*L13+IF(O13="",0,O13*Q13))/B13</f>
        <v>0.839017482517483</v>
      </c>
      <c r="E13" s="42" t="n">
        <f aca="false">J13</f>
        <v>105</v>
      </c>
      <c r="F13" s="44" t="n">
        <f aca="false">IF(O13="",0,O13)</f>
        <v>38</v>
      </c>
      <c r="G13" s="33" t="n">
        <v>0.9505</v>
      </c>
      <c r="I13" s="35" t="n">
        <v>46212</v>
      </c>
      <c r="J13" s="21" t="n">
        <v>105</v>
      </c>
      <c r="K13" s="36" t="n">
        <v>0.978260869565217</v>
      </c>
      <c r="L13" s="37" t="n">
        <v>0.9447</v>
      </c>
      <c r="N13" s="35" t="n">
        <v>46212</v>
      </c>
      <c r="O13" s="21" t="n">
        <v>38</v>
      </c>
      <c r="P13" s="38" t="n">
        <v>0.941176470588235</v>
      </c>
      <c r="Q13" s="39" t="n">
        <v>0.547</v>
      </c>
    </row>
    <row r="14" customFormat="false" ht="15" hidden="false" customHeight="true" outlineLevel="0" collapsed="false">
      <c r="A14" s="29" t="n">
        <f aca="false">I14</f>
        <v>46211</v>
      </c>
      <c r="B14" s="42" t="n">
        <f aca="false">J14+IF(O14="",0,O14)</f>
        <v>160</v>
      </c>
      <c r="C14" s="43" t="n">
        <f aca="false">(J14*K14+IF(O14="",0,O14*P14))/B14</f>
        <v>0.847834302325581</v>
      </c>
      <c r="D14" s="43" t="n">
        <f aca="false">(J14*L14+IF(O14="",0,O14*Q14))/B14</f>
        <v>0.79858</v>
      </c>
      <c r="E14" s="42" t="n">
        <f aca="false">J14</f>
        <v>108</v>
      </c>
      <c r="F14" s="44" t="n">
        <f aca="false">IF(O14="",0,O14)</f>
        <v>52</v>
      </c>
      <c r="G14" s="33" t="n">
        <v>0.9584</v>
      </c>
      <c r="I14" s="35" t="n">
        <v>46211</v>
      </c>
      <c r="J14" s="21" t="n">
        <v>108</v>
      </c>
      <c r="K14" s="36" t="n">
        <v>0.906976744186046</v>
      </c>
      <c r="L14" s="37" t="n">
        <v>0.8316</v>
      </c>
      <c r="N14" s="35" t="n">
        <v>46211</v>
      </c>
      <c r="O14" s="21" t="n">
        <v>52</v>
      </c>
      <c r="P14" s="38" t="n">
        <v>0.725</v>
      </c>
      <c r="Q14" s="39" t="n">
        <v>0.73</v>
      </c>
    </row>
    <row r="15" customFormat="false" ht="15" hidden="false" customHeight="true" outlineLevel="0" collapsed="false">
      <c r="A15" s="29" t="n">
        <f aca="false">I15</f>
        <v>46210</v>
      </c>
      <c r="B15" s="42" t="n">
        <f aca="false">J15+IF(O15="",0,O15)</f>
        <v>156</v>
      </c>
      <c r="C15" s="43" t="n">
        <f aca="false">(J15*K15+IF(O15="",0,O15*P15))/B15</f>
        <v>0.871438012159661</v>
      </c>
      <c r="D15" s="43" t="n">
        <f aca="false">(J15*L15+IF(O15="",0,O15*Q15))/B15</f>
        <v>0.734157051282051</v>
      </c>
      <c r="E15" s="42" t="n">
        <f aca="false">J15</f>
        <v>115</v>
      </c>
      <c r="F15" s="44" t="n">
        <f aca="false">IF(O15="",0,O15)</f>
        <v>41</v>
      </c>
      <c r="G15" s="33" t="n">
        <v>0.9389</v>
      </c>
      <c r="I15" s="35" t="n">
        <v>46210</v>
      </c>
      <c r="J15" s="21" t="n">
        <v>115</v>
      </c>
      <c r="K15" s="36" t="n">
        <v>0.896907216494845</v>
      </c>
      <c r="L15" s="37" t="n">
        <v>0.8811</v>
      </c>
      <c r="N15" s="35" t="n">
        <v>46210</v>
      </c>
      <c r="O15" s="21" t="n">
        <v>41</v>
      </c>
      <c r="P15" s="38" t="n">
        <v>0.8</v>
      </c>
      <c r="Q15" s="39" t="n">
        <v>0.322</v>
      </c>
    </row>
    <row r="16" customFormat="false" ht="15" hidden="false" customHeight="true" outlineLevel="0" collapsed="false">
      <c r="A16" s="29" t="n">
        <f aca="false">I16</f>
        <v>46209</v>
      </c>
      <c r="B16" s="42" t="n">
        <f aca="false">J16+IF(O16="",0,O16)</f>
        <v>142</v>
      </c>
      <c r="C16" s="43" t="n">
        <f aca="false">(J16*K16+IF(O16="",0,O16*P16))/B16</f>
        <v>0.890721522115147</v>
      </c>
      <c r="D16" s="43" t="n">
        <f aca="false">(J16*L16+IF(O16="",0,O16*Q16))/B16</f>
        <v>0.722356338028169</v>
      </c>
      <c r="E16" s="42" t="n">
        <f aca="false">J16</f>
        <v>94</v>
      </c>
      <c r="F16" s="44" t="n">
        <f aca="false">IF(O16="",0,O16)</f>
        <v>48</v>
      </c>
      <c r="G16" s="33" t="n">
        <v>0.938</v>
      </c>
      <c r="I16" s="35" t="n">
        <v>46209</v>
      </c>
      <c r="J16" s="21" t="n">
        <v>94</v>
      </c>
      <c r="K16" s="36" t="n">
        <v>0.934210526315789</v>
      </c>
      <c r="L16" s="37" t="n">
        <v>0.9799</v>
      </c>
      <c r="N16" s="35" t="n">
        <v>46209</v>
      </c>
      <c r="O16" s="21" t="n">
        <v>48</v>
      </c>
      <c r="P16" s="38" t="n">
        <v>0.805555555555555</v>
      </c>
      <c r="Q16" s="39" t="n">
        <v>0.218</v>
      </c>
    </row>
    <row r="17" customFormat="false" ht="15" hidden="false" customHeight="true" outlineLevel="0" collapsed="false">
      <c r="A17" s="29" t="n">
        <f aca="false">I17</f>
        <v>46208</v>
      </c>
      <c r="B17" s="42" t="n">
        <f aca="false">J17+IF(O17="",0,O17)</f>
        <v>197</v>
      </c>
      <c r="C17" s="43" t="n">
        <f aca="false">(J17*K17+IF(O17="",0,O17*P17))/B17</f>
        <v>0.884932045194039</v>
      </c>
      <c r="D17" s="43" t="n">
        <f aca="false">(J17*L17+IF(O17="",0,O17*Q17))/B17</f>
        <v>0.514345177664975</v>
      </c>
      <c r="E17" s="42" t="n">
        <f aca="false">J17</f>
        <v>140</v>
      </c>
      <c r="F17" s="44" t="n">
        <f aca="false">IF(O17="",0,O17)</f>
        <v>57</v>
      </c>
      <c r="G17" s="33" t="n">
        <v>0.9518</v>
      </c>
      <c r="I17" s="35" t="n">
        <v>46208</v>
      </c>
      <c r="J17" s="21" t="n">
        <v>140</v>
      </c>
      <c r="K17" s="36" t="n">
        <v>0.903225806451612</v>
      </c>
      <c r="L17" s="37" t="n">
        <v>0.5837</v>
      </c>
      <c r="N17" s="35" t="n">
        <v>46208</v>
      </c>
      <c r="O17" s="21" t="n">
        <v>57</v>
      </c>
      <c r="P17" s="38" t="n">
        <v>0.84</v>
      </c>
      <c r="Q17" s="39" t="n">
        <v>0.344</v>
      </c>
    </row>
    <row r="18" customFormat="false" ht="15" hidden="false" customHeight="true" outlineLevel="0" collapsed="false">
      <c r="A18" s="29" t="n">
        <f aca="false">I18</f>
        <v>46207</v>
      </c>
      <c r="B18" s="42" t="n">
        <f aca="false">J18+IF(O18="",0,O18)</f>
        <v>183</v>
      </c>
      <c r="C18" s="43" t="n">
        <f aca="false">(J18*K18+IF(O18="",0,O18*P18))/B18</f>
        <v>0.879220839375617</v>
      </c>
      <c r="D18" s="43" t="n">
        <f aca="false">(J18*L18+IF(O18="",0,O18*Q18))/B18</f>
        <v>0.543137704918033</v>
      </c>
      <c r="E18" s="42" t="n">
        <f aca="false">J18</f>
        <v>129</v>
      </c>
      <c r="F18" s="44" t="n">
        <f aca="false">IF(O18="",0,O18)</f>
        <v>54</v>
      </c>
      <c r="G18" s="33" t="n">
        <v>0.952</v>
      </c>
      <c r="I18" s="35" t="n">
        <v>46207</v>
      </c>
      <c r="J18" s="21" t="n">
        <v>129</v>
      </c>
      <c r="K18" s="36" t="n">
        <v>0.906542056074766</v>
      </c>
      <c r="L18" s="37" t="n">
        <v>0.5658</v>
      </c>
      <c r="N18" s="35" t="n">
        <v>46207</v>
      </c>
      <c r="O18" s="21" t="n">
        <v>54</v>
      </c>
      <c r="P18" s="38" t="n">
        <v>0.813953488372093</v>
      </c>
      <c r="Q18" s="39" t="n">
        <v>0.489</v>
      </c>
    </row>
    <row r="19" customFormat="false" ht="15" hidden="false" customHeight="true" outlineLevel="0" collapsed="false">
      <c r="A19" s="29" t="n">
        <f aca="false">I19</f>
        <v>46206</v>
      </c>
      <c r="B19" s="42" t="n">
        <f aca="false">J19+IF(O19="",0,O19)</f>
        <v>172</v>
      </c>
      <c r="C19" s="43" t="n">
        <f aca="false">(J19*K19+IF(O19="",0,O19*P19))/B19</f>
        <v>0.846244605210047</v>
      </c>
      <c r="D19" s="43" t="n">
        <f aca="false">(J19*L19+IF(O19="",0,O19*Q19))/B19</f>
        <v>0.659446511627907</v>
      </c>
      <c r="E19" s="42" t="n">
        <f aca="false">J19</f>
        <v>124</v>
      </c>
      <c r="F19" s="44" t="n">
        <f aca="false">IF(O19="",0,O19)</f>
        <v>48</v>
      </c>
      <c r="G19" s="33" t="n">
        <v>0.9453</v>
      </c>
      <c r="I19" s="35" t="n">
        <v>46206</v>
      </c>
      <c r="J19" s="21" t="n">
        <v>124</v>
      </c>
      <c r="K19" s="36" t="n">
        <v>0.906542056074766</v>
      </c>
      <c r="L19" s="37" t="n">
        <v>0.7982</v>
      </c>
      <c r="N19" s="35" t="n">
        <v>46206</v>
      </c>
      <c r="O19" s="21" t="n">
        <v>48</v>
      </c>
      <c r="P19" s="38" t="n">
        <v>0.69047619047619</v>
      </c>
      <c r="Q19" s="39" t="n">
        <v>0.301</v>
      </c>
    </row>
    <row r="20" customFormat="false" ht="15" hidden="false" customHeight="true" outlineLevel="0" collapsed="false">
      <c r="A20" s="29" t="n">
        <f aca="false">I20</f>
        <v>46205</v>
      </c>
      <c r="B20" s="42" t="n">
        <f aca="false">J20+IF(O20="",0,O20)</f>
        <v>124</v>
      </c>
      <c r="C20" s="43" t="n">
        <f aca="false">(J20*K20+IF(O20="",0,O20*P20))/B20</f>
        <v>0.874672449625011</v>
      </c>
      <c r="D20" s="43" t="n">
        <f aca="false">(J20*L20+IF(O20="",0,O20*Q20))/B20</f>
        <v>0.664858064516129</v>
      </c>
      <c r="E20" s="42" t="n">
        <f aca="false">J20</f>
        <v>78</v>
      </c>
      <c r="F20" s="44" t="n">
        <f aca="false">IF(O20="",0,O20)</f>
        <v>46</v>
      </c>
      <c r="G20" s="33" t="n">
        <v>0.9329</v>
      </c>
      <c r="I20" s="35" t="n">
        <v>46205</v>
      </c>
      <c r="J20" s="21" t="n">
        <v>78</v>
      </c>
      <c r="K20" s="36" t="n">
        <v>0.941176470588235</v>
      </c>
      <c r="L20" s="37" t="n">
        <v>0.9278</v>
      </c>
      <c r="N20" s="35" t="n">
        <v>46205</v>
      </c>
      <c r="O20" s="21" t="n">
        <v>46</v>
      </c>
      <c r="P20" s="38" t="n">
        <v>0.761904761904761</v>
      </c>
      <c r="Q20" s="39" t="n">
        <v>0.219</v>
      </c>
    </row>
    <row r="21" customFormat="false" ht="15" hidden="false" customHeight="true" outlineLevel="0" collapsed="false">
      <c r="A21" s="29" t="n">
        <f aca="false">I21</f>
        <v>46204</v>
      </c>
      <c r="B21" s="42" t="n">
        <f aca="false">J21+IF(O21="",0,O21)</f>
        <v>158</v>
      </c>
      <c r="C21" s="43" t="n">
        <f aca="false">(J21*K21+IF(O21="",0,O21*P21))/B21</f>
        <v>0.882622061482821</v>
      </c>
      <c r="D21" s="43" t="n">
        <f aca="false">(J21*L21+IF(O21="",0,O21*Q21))/B21</f>
        <v>0.676706329113924</v>
      </c>
      <c r="E21" s="42" t="n">
        <f aca="false">J21</f>
        <v>118</v>
      </c>
      <c r="F21" s="44" t="n">
        <f aca="false">IF(O21="",0,O21)</f>
        <v>40</v>
      </c>
      <c r="G21" s="33" t="n">
        <v>0.939</v>
      </c>
      <c r="I21" s="35" t="n">
        <v>46204</v>
      </c>
      <c r="J21" s="21" t="n">
        <v>118</v>
      </c>
      <c r="K21" s="36" t="n">
        <v>0.93</v>
      </c>
      <c r="L21" s="37" t="n">
        <v>0.7722</v>
      </c>
      <c r="N21" s="35" t="n">
        <v>46204</v>
      </c>
      <c r="O21" s="21" t="n">
        <v>40</v>
      </c>
      <c r="P21" s="38" t="n">
        <v>0.742857142857142</v>
      </c>
      <c r="Q21" s="39" t="n">
        <v>0.395</v>
      </c>
    </row>
    <row r="22" customFormat="false" ht="15" hidden="false" customHeight="true" outlineLevel="0" collapsed="false">
      <c r="A22" s="29" t="n">
        <f aca="false">I22</f>
        <v>46203</v>
      </c>
      <c r="B22" s="42" t="n">
        <f aca="false">J22+IF(O22="",0,O22)</f>
        <v>156</v>
      </c>
      <c r="C22" s="43" t="n">
        <f aca="false">(J22*K22+IF(O22="",0,O22*P22))/B22</f>
        <v>0.893491124260354</v>
      </c>
      <c r="D22" s="43" t="n">
        <f aca="false">(J22*L22+IF(O22="",0,O22*Q22))/B22</f>
        <v>0.952165384615385</v>
      </c>
      <c r="E22" s="42" t="n">
        <f aca="false">J22</f>
        <v>93</v>
      </c>
      <c r="F22" s="44" t="n">
        <f aca="false">IF(O22="",0,O22)</f>
        <v>63</v>
      </c>
      <c r="G22" s="33" t="n">
        <v>0.9607</v>
      </c>
      <c r="I22" s="35" t="n">
        <v>46203</v>
      </c>
      <c r="J22" s="21" t="n">
        <v>93</v>
      </c>
      <c r="K22" s="36" t="n">
        <v>0.858974358974358</v>
      </c>
      <c r="L22" s="37" t="n">
        <v>0.9306</v>
      </c>
      <c r="N22" s="35" t="n">
        <v>46203</v>
      </c>
      <c r="O22" s="21" t="n">
        <v>63</v>
      </c>
      <c r="P22" s="38" t="n">
        <v>0.944444444444444</v>
      </c>
      <c r="Q22" s="39" t="n">
        <v>0.984</v>
      </c>
    </row>
    <row r="23" customFormat="false" ht="15" hidden="false" customHeight="true" outlineLevel="0" collapsed="false">
      <c r="A23" s="29" t="n">
        <f aca="false">I23</f>
        <v>46202</v>
      </c>
      <c r="B23" s="42" t="n">
        <f aca="false">J23+IF(O23="",0,O23)</f>
        <v>143</v>
      </c>
      <c r="C23" s="43" t="n">
        <f aca="false">(J23*K23+IF(O23="",0,O23*P23))/B23</f>
        <v>0.908138787847974</v>
      </c>
      <c r="D23" s="43" t="n">
        <f aca="false">(J23*L23+IF(O23="",0,O23*Q23))/B23</f>
        <v>0.717626573426573</v>
      </c>
      <c r="E23" s="42" t="n">
        <f aca="false">J23</f>
        <v>107</v>
      </c>
      <c r="F23" s="44" t="n">
        <f aca="false">IF(O23="",0,O23)</f>
        <v>36</v>
      </c>
      <c r="G23" s="33" t="n">
        <v>0.9502</v>
      </c>
      <c r="I23" s="35" t="n">
        <v>46202</v>
      </c>
      <c r="J23" s="21" t="n">
        <v>107</v>
      </c>
      <c r="K23" s="36" t="n">
        <v>0.96629213483146</v>
      </c>
      <c r="L23" s="37" t="n">
        <v>0.8218</v>
      </c>
      <c r="N23" s="35" t="n">
        <v>46202</v>
      </c>
      <c r="O23" s="21" t="n">
        <v>36</v>
      </c>
      <c r="P23" s="38" t="n">
        <v>0.735294117647058</v>
      </c>
      <c r="Q23" s="39" t="n">
        <v>0.408</v>
      </c>
    </row>
    <row r="24" customFormat="false" ht="15" hidden="false" customHeight="true" outlineLevel="0" collapsed="false">
      <c r="A24" s="29" t="n">
        <f aca="false">I24</f>
        <v>46201</v>
      </c>
      <c r="B24" s="42" t="n">
        <f aca="false">J24+IF(O24="",0,O24)</f>
        <v>145</v>
      </c>
      <c r="C24" s="43" t="n">
        <f aca="false">(J24*K24+IF(O24="",0,O24*P24))/B24</f>
        <v>0.953908045977011</v>
      </c>
      <c r="D24" s="43" t="n">
        <f aca="false">(J24*L24+IF(O24="",0,O24*Q24))/B24</f>
        <v>0.8666</v>
      </c>
      <c r="E24" s="42" t="n">
        <f aca="false">J24</f>
        <v>102</v>
      </c>
      <c r="F24" s="44" t="n">
        <f aca="false">IF(O24="",0,O24)</f>
        <v>43</v>
      </c>
      <c r="G24" s="33" t="n">
        <v>0.9368</v>
      </c>
      <c r="I24" s="35" t="n">
        <v>46201</v>
      </c>
      <c r="J24" s="21" t="n">
        <v>102</v>
      </c>
      <c r="K24" s="36" t="n">
        <v>0.955555555555555</v>
      </c>
      <c r="L24" s="37" t="n">
        <v>0.9655</v>
      </c>
      <c r="N24" s="35" t="n">
        <v>46201</v>
      </c>
      <c r="O24" s="21" t="n">
        <v>43</v>
      </c>
      <c r="P24" s="38" t="n">
        <v>0.95</v>
      </c>
      <c r="Q24" s="39" t="n">
        <v>0.632</v>
      </c>
    </row>
    <row r="25" customFormat="false" ht="15" hidden="false" customHeight="true" outlineLevel="0" collapsed="false">
      <c r="A25" s="29" t="n">
        <f aca="false">I25</f>
        <v>46200</v>
      </c>
      <c r="B25" s="42" t="n">
        <f aca="false">J25+IF(O25="",0,O25)</f>
        <v>169</v>
      </c>
      <c r="C25" s="43" t="n">
        <f aca="false">(J25*K25+IF(O25="",0,O25*P25))/B25</f>
        <v>0.857844872637771</v>
      </c>
      <c r="D25" s="43" t="n">
        <f aca="false">(J25*L25+IF(O25="",0,O25*Q25))/B25</f>
        <v>0.872721893491124</v>
      </c>
      <c r="E25" s="42" t="n">
        <f aca="false">J25</f>
        <v>122</v>
      </c>
      <c r="F25" s="44" t="n">
        <f aca="false">IF(O25="",0,O25)</f>
        <v>47</v>
      </c>
      <c r="G25" s="33" t="n">
        <v>0.9482</v>
      </c>
      <c r="I25" s="35" t="n">
        <v>46200</v>
      </c>
      <c r="J25" s="21" t="n">
        <v>122</v>
      </c>
      <c r="K25" s="36" t="n">
        <v>0.842592592592592</v>
      </c>
      <c r="L25" s="37" t="n">
        <v>0.8495</v>
      </c>
      <c r="N25" s="35" t="n">
        <v>46200</v>
      </c>
      <c r="O25" s="21" t="n">
        <v>47</v>
      </c>
      <c r="P25" s="38" t="n">
        <v>0.897435897435897</v>
      </c>
      <c r="Q25" s="39" t="n">
        <v>0.933</v>
      </c>
    </row>
    <row r="26" customFormat="false" ht="15" hidden="false" customHeight="true" outlineLevel="0" collapsed="false">
      <c r="A26" s="29" t="n">
        <f aca="false">I26</f>
        <v>46199</v>
      </c>
      <c r="B26" s="42" t="n">
        <f aca="false">J26+IF(O26="",0,O26)</f>
        <v>176</v>
      </c>
      <c r="C26" s="43" t="n">
        <f aca="false">(J26*K26+IF(O26="",0,O26*P26))/B26</f>
        <v>0.910795956029848</v>
      </c>
      <c r="D26" s="43" t="n">
        <f aca="false">(J26*L26+IF(O26="",0,O26*Q26))/B26</f>
        <v>0.629727272727273</v>
      </c>
      <c r="E26" s="42" t="n">
        <f aca="false">J26</f>
        <v>128</v>
      </c>
      <c r="F26" s="44" t="n">
        <f aca="false">IF(O26="",0,O26)</f>
        <v>48</v>
      </c>
      <c r="G26" s="33" t="n">
        <v>0.9423</v>
      </c>
      <c r="I26" s="35" t="n">
        <v>46199</v>
      </c>
      <c r="J26" s="21" t="n">
        <v>128</v>
      </c>
      <c r="K26" s="36" t="n">
        <v>0.902912621359223</v>
      </c>
      <c r="L26" s="37" t="n">
        <v>0.525</v>
      </c>
      <c r="N26" s="35" t="n">
        <v>46199</v>
      </c>
      <c r="O26" s="21" t="n">
        <v>48</v>
      </c>
      <c r="P26" s="38" t="n">
        <v>0.931818181818181</v>
      </c>
      <c r="Q26" s="39" t="n">
        <v>0.909</v>
      </c>
    </row>
    <row r="27" customFormat="false" ht="15" hidden="false" customHeight="true" outlineLevel="0" collapsed="false">
      <c r="A27" s="29" t="n">
        <f aca="false">I27</f>
        <v>46198</v>
      </c>
      <c r="B27" s="42" t="n">
        <f aca="false">J27+IF(O27="",0,O27)</f>
        <v>152</v>
      </c>
      <c r="C27" s="43" t="n">
        <f aca="false">(J27*K27+IF(O27="",0,O27*P27))/B27</f>
        <v>0.912361549033875</v>
      </c>
      <c r="D27" s="43" t="n">
        <f aca="false">(J27*L27+IF(O27="",0,O27*Q27))/B27</f>
        <v>0.703042105263158</v>
      </c>
      <c r="E27" s="42" t="n">
        <f aca="false">J27</f>
        <v>106</v>
      </c>
      <c r="F27" s="44" t="n">
        <f aca="false">IF(O27="",0,O27)</f>
        <v>46</v>
      </c>
      <c r="G27" s="33" t="n">
        <v>0.9545</v>
      </c>
      <c r="I27" s="35" t="n">
        <v>46198</v>
      </c>
      <c r="J27" s="21" t="n">
        <v>106</v>
      </c>
      <c r="K27" s="36" t="n">
        <v>0.956989247311828</v>
      </c>
      <c r="L27" s="37" t="n">
        <v>0.6154</v>
      </c>
      <c r="N27" s="35" t="n">
        <v>46198</v>
      </c>
      <c r="O27" s="21" t="n">
        <v>46</v>
      </c>
      <c r="P27" s="38" t="n">
        <v>0.809523809523809</v>
      </c>
      <c r="Q27" s="39" t="n">
        <v>0.905</v>
      </c>
    </row>
    <row r="28" customFormat="false" ht="15" hidden="false" customHeight="true" outlineLevel="0" collapsed="false">
      <c r="A28" s="29" t="n">
        <f aca="false">I28</f>
        <v>46197</v>
      </c>
      <c r="B28" s="42" t="n">
        <f aca="false">J28+IF(O28="",0,O28)</f>
        <v>149</v>
      </c>
      <c r="C28" s="43" t="n">
        <f aca="false">(J28*K28+IF(O28="",0,O28*P28))/B28</f>
        <v>0.834793756126989</v>
      </c>
      <c r="D28" s="43" t="n">
        <f aca="false">(J28*L28+IF(O28="",0,O28*Q28))/B28</f>
        <v>0.558308724832215</v>
      </c>
      <c r="E28" s="42" t="n">
        <f aca="false">J28</f>
        <v>105</v>
      </c>
      <c r="F28" s="44" t="n">
        <f aca="false">IF(O28="",0,O28)</f>
        <v>44</v>
      </c>
      <c r="G28" s="33" t="n">
        <v>0.9426</v>
      </c>
      <c r="I28" s="35" t="n">
        <v>46197</v>
      </c>
      <c r="J28" s="21" t="n">
        <v>105</v>
      </c>
      <c r="K28" s="36" t="n">
        <v>0.786516853932584</v>
      </c>
      <c r="L28" s="37" t="n">
        <v>0.4432</v>
      </c>
      <c r="N28" s="35" t="n">
        <v>46197</v>
      </c>
      <c r="O28" s="21" t="n">
        <v>44</v>
      </c>
      <c r="P28" s="38" t="n">
        <v>0.95</v>
      </c>
      <c r="Q28" s="39" t="n">
        <v>0.833</v>
      </c>
    </row>
    <row r="29" customFormat="false" ht="15" hidden="false" customHeight="true" outlineLevel="0" collapsed="false">
      <c r="A29" s="29" t="n">
        <f aca="false">I29</f>
        <v>46196</v>
      </c>
      <c r="B29" s="42" t="n">
        <f aca="false">J29+IF(O29="",0,O29)</f>
        <v>173</v>
      </c>
      <c r="C29" s="43" t="n">
        <f aca="false">(J29*K29+IF(O29="",0,O29*P29))/B29</f>
        <v>0.757003112494442</v>
      </c>
      <c r="D29" s="43" t="n">
        <f aca="false">(J29*L29+IF(O29="",0,O29*Q29))/B29</f>
        <v>0.47286936416185</v>
      </c>
      <c r="E29" s="42" t="n">
        <f aca="false">J29</f>
        <v>126</v>
      </c>
      <c r="F29" s="44" t="n">
        <f aca="false">IF(O29="",0,O29)</f>
        <v>47</v>
      </c>
      <c r="G29" s="33" t="n">
        <v>0.9546</v>
      </c>
      <c r="I29" s="35" t="n">
        <v>46196</v>
      </c>
      <c r="J29" s="21" t="n">
        <v>126</v>
      </c>
      <c r="K29" s="36" t="n">
        <v>0.759615384615384</v>
      </c>
      <c r="L29" s="37" t="n">
        <v>0.3404</v>
      </c>
      <c r="N29" s="35" t="n">
        <v>46196</v>
      </c>
      <c r="O29" s="21" t="n">
        <v>47</v>
      </c>
      <c r="P29" s="38" t="n">
        <v>0.75</v>
      </c>
      <c r="Q29" s="39" t="n">
        <v>0.828</v>
      </c>
    </row>
    <row r="30" customFormat="false" ht="15" hidden="false" customHeight="true" outlineLevel="0" collapsed="false">
      <c r="A30" s="29" t="n">
        <f aca="false">I30</f>
        <v>46195</v>
      </c>
      <c r="B30" s="42" t="n">
        <f aca="false">J30+IF(O30="",0,O30)</f>
        <v>139</v>
      </c>
      <c r="C30" s="43" t="n">
        <f aca="false">(J30*K30+IF(O30="",0,O30*P30))/B30</f>
        <v>0.847080728747809</v>
      </c>
      <c r="D30" s="43" t="n">
        <f aca="false">(J30*L30+IF(O30="",0,O30*Q30))/B30</f>
        <v>0.78705035971223</v>
      </c>
      <c r="E30" s="42" t="n">
        <f aca="false">J30</f>
        <v>100</v>
      </c>
      <c r="F30" s="44" t="n">
        <f aca="false">IF(O30="",0,O30)</f>
        <v>39</v>
      </c>
      <c r="G30" s="33" t="n">
        <v>0.9572</v>
      </c>
      <c r="I30" s="35" t="n">
        <v>46195</v>
      </c>
      <c r="J30" s="21" t="n">
        <v>100</v>
      </c>
      <c r="K30" s="36" t="n">
        <v>0.868131868131868</v>
      </c>
      <c r="L30" s="37" t="n">
        <v>0.8171</v>
      </c>
      <c r="N30" s="35" t="n">
        <v>46195</v>
      </c>
      <c r="O30" s="21" t="n">
        <v>39</v>
      </c>
      <c r="P30" s="38" t="n">
        <v>0.793103448275862</v>
      </c>
      <c r="Q30" s="39" t="n">
        <v>0.71</v>
      </c>
    </row>
    <row r="31" customFormat="false" ht="15" hidden="false" customHeight="true" outlineLevel="0" collapsed="false">
      <c r="A31" s="29" t="n">
        <f aca="false">I31</f>
        <v>46194</v>
      </c>
      <c r="B31" s="42" t="n">
        <f aca="false">J31+IF(O31="",0,O31)</f>
        <v>168</v>
      </c>
      <c r="C31" s="43" t="n">
        <f aca="false">(J31*K31+IF(O31="",0,O31*P31))/B31</f>
        <v>0.871796811945117</v>
      </c>
      <c r="D31" s="43" t="n">
        <f aca="false">(J31*L31+IF(O31="",0,O31*Q31))/B31</f>
        <v>0.664975</v>
      </c>
      <c r="E31" s="42" t="n">
        <f aca="false">J31</f>
        <v>133</v>
      </c>
      <c r="F31" s="44" t="n">
        <f aca="false">IF(O31="",0,O31)</f>
        <v>35</v>
      </c>
      <c r="G31" s="33" t="n">
        <v>0.9418</v>
      </c>
      <c r="I31" s="35" t="n">
        <v>46194</v>
      </c>
      <c r="J31" s="21" t="n">
        <v>133</v>
      </c>
      <c r="K31" s="36" t="n">
        <v>0.847457627118644</v>
      </c>
      <c r="L31" s="37" t="n">
        <v>0.7126</v>
      </c>
      <c r="N31" s="35" t="n">
        <v>46194</v>
      </c>
      <c r="O31" s="21" t="n">
        <v>35</v>
      </c>
      <c r="P31" s="38" t="n">
        <v>0.964285714285714</v>
      </c>
      <c r="Q31" s="39" t="n">
        <v>0.484</v>
      </c>
    </row>
    <row r="32" customFormat="false" ht="15" hidden="false" customHeight="true" outlineLevel="0" collapsed="false">
      <c r="A32" s="29" t="n">
        <f aca="false">I32</f>
        <v>46193</v>
      </c>
      <c r="B32" s="42" t="n">
        <f aca="false">J32+IF(O32="",0,O32)</f>
        <v>184</v>
      </c>
      <c r="C32" s="43" t="n">
        <f aca="false">(J32*K32+IF(O32="",0,O32*P32))/B32</f>
        <v>0.640125511406975</v>
      </c>
      <c r="D32" s="43" t="n">
        <f aca="false">(J32*L32+IF(O32="",0,O32*Q32))/B32</f>
        <v>0.635951086956522</v>
      </c>
      <c r="E32" s="42" t="n">
        <f aca="false">J32</f>
        <v>130</v>
      </c>
      <c r="F32" s="44" t="n">
        <f aca="false">IF(O32="",0,O32)</f>
        <v>54</v>
      </c>
      <c r="G32" s="33" t="n">
        <v>0.9531</v>
      </c>
      <c r="I32" s="35" t="n">
        <v>46193</v>
      </c>
      <c r="J32" s="21" t="n">
        <v>130</v>
      </c>
      <c r="K32" s="36" t="n">
        <v>0.622807017543859</v>
      </c>
      <c r="L32" s="37" t="n">
        <v>0.7917</v>
      </c>
      <c r="N32" s="35" t="n">
        <v>46193</v>
      </c>
      <c r="O32" s="21" t="n">
        <v>54</v>
      </c>
      <c r="P32" s="38" t="n">
        <v>0.681818181818181</v>
      </c>
      <c r="Q32" s="39" t="n">
        <v>0.261</v>
      </c>
    </row>
    <row r="33" customFormat="false" ht="15" hidden="false" customHeight="true" outlineLevel="0" collapsed="false">
      <c r="A33" s="29" t="n">
        <f aca="false">I33</f>
        <v>46192</v>
      </c>
      <c r="B33" s="42" t="n">
        <f aca="false">J33+IF(O33="",0,O33)</f>
        <v>144</v>
      </c>
      <c r="C33" s="43" t="n">
        <f aca="false">(J33*K33+IF(O33="",0,O33*P33))/B33</f>
        <v>0.896853313505681</v>
      </c>
      <c r="D33" s="43" t="n">
        <f aca="false">(J33*L33+IF(O33="",0,O33*Q33))/B33</f>
        <v>0.718390277777778</v>
      </c>
      <c r="E33" s="42" t="n">
        <f aca="false">J33</f>
        <v>107</v>
      </c>
      <c r="F33" s="44" t="n">
        <f aca="false">IF(O33="",0,O33)</f>
        <v>37</v>
      </c>
      <c r="G33" s="33" t="n">
        <v>0.9516</v>
      </c>
      <c r="I33" s="35" t="n">
        <v>46192</v>
      </c>
      <c r="J33" s="21" t="n">
        <v>107</v>
      </c>
      <c r="K33" s="36" t="n">
        <v>0.872340425531914</v>
      </c>
      <c r="L33" s="37" t="n">
        <v>0.8316</v>
      </c>
      <c r="N33" s="35" t="n">
        <v>46192</v>
      </c>
      <c r="O33" s="21" t="n">
        <v>37</v>
      </c>
      <c r="P33" s="38" t="n">
        <v>0.967741935483871</v>
      </c>
      <c r="Q33" s="39" t="n">
        <v>0.391</v>
      </c>
    </row>
    <row r="34" customFormat="false" ht="15" hidden="false" customHeight="true" outlineLevel="0" collapsed="false">
      <c r="A34" s="29" t="n">
        <f aca="false">I34</f>
        <v>46191</v>
      </c>
      <c r="B34" s="42" t="n">
        <f aca="false">J34+IF(O34="",0,O34)</f>
        <v>139</v>
      </c>
      <c r="C34" s="43" t="n">
        <f aca="false">(J34*K34+IF(O34="",0,O34*P34))/B34</f>
        <v>0.928269149386373</v>
      </c>
      <c r="D34" s="43" t="n">
        <f aca="false">(J34*L34+IF(O34="",0,O34*Q34))/B34</f>
        <v>0.691762589928058</v>
      </c>
      <c r="E34" s="42" t="n">
        <f aca="false">J34</f>
        <v>95</v>
      </c>
      <c r="F34" s="44" t="n">
        <f aca="false">IF(O34="",0,O34)</f>
        <v>44</v>
      </c>
      <c r="G34" s="33" t="n">
        <v>0.956</v>
      </c>
      <c r="I34" s="35" t="n">
        <v>46191</v>
      </c>
      <c r="J34" s="21" t="n">
        <v>95</v>
      </c>
      <c r="K34" s="36" t="n">
        <v>0.952941176470588</v>
      </c>
      <c r="L34" s="37" t="n">
        <v>0.549</v>
      </c>
      <c r="N34" s="35" t="n">
        <v>46191</v>
      </c>
      <c r="O34" s="21" t="n">
        <v>44</v>
      </c>
      <c r="P34" s="38" t="n">
        <v>0.875</v>
      </c>
      <c r="Q34" s="39" t="n">
        <v>1</v>
      </c>
    </row>
    <row r="35" customFormat="false" ht="15" hidden="false" customHeight="true" outlineLevel="0" collapsed="false">
      <c r="A35" s="29" t="n">
        <f aca="false">I35</f>
        <v>46190</v>
      </c>
      <c r="B35" s="42" t="n">
        <f aca="false">J35+IF(O35="",0,O35)</f>
        <v>104</v>
      </c>
      <c r="C35" s="43" t="n">
        <f aca="false">(J35*K35+IF(O35="",0,O35*P35))/B35</f>
        <v>0.879518072289156</v>
      </c>
      <c r="D35" s="43" t="n">
        <f aca="false">(J35*L35+IF(O35="",0,O35*Q35))/B35</f>
        <v>0.5584</v>
      </c>
      <c r="E35" s="42" t="n">
        <f aca="false">J35</f>
        <v>104</v>
      </c>
      <c r="F35" s="44" t="n">
        <f aca="false">IF(O35="",0,O35)</f>
        <v>0</v>
      </c>
      <c r="G35" s="33" t="n">
        <v>0.9446</v>
      </c>
      <c r="I35" s="35" t="n">
        <v>46190</v>
      </c>
      <c r="J35" s="21" t="n">
        <v>104</v>
      </c>
      <c r="K35" s="36" t="n">
        <v>0.879518072289156</v>
      </c>
      <c r="L35" s="37" t="n">
        <v>0.5584</v>
      </c>
      <c r="N35" s="45"/>
      <c r="P35" s="46"/>
      <c r="Q35" s="46"/>
    </row>
    <row r="36" customFormat="false" ht="15" hidden="false" customHeight="true" outlineLevel="0" collapsed="false">
      <c r="A36" s="29" t="n">
        <f aca="false">I36</f>
        <v>46189</v>
      </c>
      <c r="B36" s="42" t="n">
        <f aca="false">J36+IF(O36="",0,O36)</f>
        <v>114</v>
      </c>
      <c r="C36" s="43" t="n">
        <f aca="false">(J36*K36+IF(O36="",0,O36*P36))/B36</f>
        <v>0.935483870967741</v>
      </c>
      <c r="D36" s="43" t="n">
        <f aca="false">(J36*L36+IF(O36="",0,O36*Q36))/B36</f>
        <v>0.8852</v>
      </c>
      <c r="E36" s="42" t="n">
        <f aca="false">J36</f>
        <v>114</v>
      </c>
      <c r="F36" s="44" t="n">
        <f aca="false">IF(O36="",0,O36)</f>
        <v>0</v>
      </c>
      <c r="G36" s="33" t="n">
        <v>0.9419</v>
      </c>
      <c r="I36" s="35" t="n">
        <v>46189</v>
      </c>
      <c r="J36" s="21" t="n">
        <v>114</v>
      </c>
      <c r="K36" s="36" t="n">
        <v>0.935483870967741</v>
      </c>
      <c r="L36" s="37" t="n">
        <v>0.8852</v>
      </c>
      <c r="N36" s="45"/>
      <c r="P36" s="46"/>
      <c r="Q36" s="46"/>
    </row>
    <row r="37" customFormat="false" ht="15" hidden="false" customHeight="true" outlineLevel="0" collapsed="false">
      <c r="A37" s="29" t="n">
        <f aca="false">I37</f>
        <v>46188</v>
      </c>
      <c r="B37" s="42" t="n">
        <f aca="false">J37+IF(O37="",0,O37)</f>
        <v>101</v>
      </c>
      <c r="C37" s="43" t="n">
        <f aca="false">(J37*K37+IF(O37="",0,O37*P37))/B37</f>
        <v>0.908045977011494</v>
      </c>
      <c r="D37" s="43" t="n">
        <f aca="false">(J37*L37+IF(O37="",0,O37*Q37))/B37</f>
        <v>0.44</v>
      </c>
      <c r="E37" s="42" t="n">
        <f aca="false">J37</f>
        <v>101</v>
      </c>
      <c r="F37" s="44" t="n">
        <f aca="false">IF(O37="",0,O37)</f>
        <v>0</v>
      </c>
      <c r="G37" s="33" t="n">
        <v>0.9464</v>
      </c>
      <c r="I37" s="35" t="n">
        <v>46188</v>
      </c>
      <c r="J37" s="21" t="n">
        <v>101</v>
      </c>
      <c r="K37" s="36" t="n">
        <v>0.908045977011494</v>
      </c>
      <c r="L37" s="37" t="n">
        <v>0.44</v>
      </c>
      <c r="N37" s="45"/>
      <c r="P37" s="46"/>
      <c r="Q37" s="46"/>
    </row>
    <row r="38" customFormat="false" ht="15" hidden="false" customHeight="true" outlineLevel="0" collapsed="false">
      <c r="A38" s="29" t="n">
        <f aca="false">I38</f>
        <v>46187</v>
      </c>
      <c r="B38" s="42" t="n">
        <f aca="false">J38+IF(O38="",0,O38)</f>
        <v>112</v>
      </c>
      <c r="C38" s="43" t="n">
        <f aca="false">(J38*K38+IF(O38="",0,O38*P38))/B38</f>
        <v>0.9375</v>
      </c>
      <c r="D38" s="43" t="n">
        <f aca="false">(J38*L38+IF(O38="",0,O38*Q38))/B38</f>
        <v>0.9783</v>
      </c>
      <c r="E38" s="42" t="n">
        <f aca="false">J38</f>
        <v>112</v>
      </c>
      <c r="F38" s="44" t="n">
        <f aca="false">IF(O38="",0,O38)</f>
        <v>0</v>
      </c>
      <c r="G38" s="33" t="n">
        <v>0.9451</v>
      </c>
      <c r="I38" s="35" t="n">
        <v>46187</v>
      </c>
      <c r="J38" s="21" t="n">
        <v>112</v>
      </c>
      <c r="K38" s="36" t="n">
        <v>0.9375</v>
      </c>
      <c r="L38" s="37" t="n">
        <v>0.9783</v>
      </c>
      <c r="N38" s="45"/>
      <c r="P38" s="47"/>
    </row>
    <row r="39" customFormat="false" ht="14.25" hidden="false" customHeight="true" outlineLevel="0" collapsed="false">
      <c r="A39" s="29" t="n">
        <f aca="false">I39</f>
        <v>46186</v>
      </c>
      <c r="B39" s="42" t="n">
        <f aca="false">J39+IF(O39="",0,O39)</f>
        <v>125</v>
      </c>
      <c r="C39" s="43" t="n">
        <f aca="false">(J39*K39+IF(O39="",0,O39*P39))/B39</f>
        <v>0.939393939393939</v>
      </c>
      <c r="D39" s="43" t="n">
        <f aca="false">(J39*L39+IF(O39="",0,O39*Q39))/B39</f>
        <v>0.8824</v>
      </c>
      <c r="E39" s="42" t="n">
        <f aca="false">J39</f>
        <v>125</v>
      </c>
      <c r="F39" s="44" t="n">
        <f aca="false">IF(O39="",0,O39)</f>
        <v>0</v>
      </c>
      <c r="G39" s="33" t="n">
        <v>0.949</v>
      </c>
      <c r="I39" s="35" t="n">
        <v>46186</v>
      </c>
      <c r="J39" s="21" t="n">
        <v>125</v>
      </c>
      <c r="K39" s="36" t="n">
        <v>0.939393939393939</v>
      </c>
      <c r="L39" s="37" t="n">
        <v>0.8824</v>
      </c>
      <c r="N39" s="45"/>
      <c r="P39" s="47"/>
    </row>
    <row r="40" customFormat="false" ht="14.25" hidden="false" customHeight="true" outlineLevel="0" collapsed="false">
      <c r="A40" s="45"/>
      <c r="G40" s="48"/>
      <c r="I40" s="45"/>
      <c r="N40" s="45"/>
    </row>
    <row r="41" customFormat="false" ht="14.25" hidden="false" customHeight="true" outlineLevel="0" collapsed="false">
      <c r="A41" s="45"/>
      <c r="G41" s="48"/>
      <c r="I41" s="45"/>
      <c r="N41" s="45"/>
    </row>
    <row r="42" customFormat="false" ht="14.25" hidden="false" customHeight="true" outlineLevel="0" collapsed="false">
      <c r="A42" s="45"/>
      <c r="G42" s="48"/>
      <c r="I42" s="45"/>
      <c r="N42" s="45"/>
    </row>
    <row r="43" customFormat="false" ht="14.25" hidden="false" customHeight="true" outlineLevel="0" collapsed="false">
      <c r="A43" s="45"/>
      <c r="I43" s="45"/>
      <c r="N43" s="45"/>
    </row>
    <row r="44" customFormat="false" ht="14.25" hidden="false" customHeight="true" outlineLevel="0" collapsed="false">
      <c r="A44" s="45"/>
      <c r="I44" s="45"/>
      <c r="N44" s="45"/>
    </row>
    <row r="45" customFormat="false" ht="14.25" hidden="false" customHeight="true" outlineLevel="0" collapsed="false">
      <c r="A45" s="45"/>
      <c r="I45" s="45"/>
      <c r="N45" s="45"/>
    </row>
    <row r="46" customFormat="false" ht="14.25" hidden="false" customHeight="true" outlineLevel="0" collapsed="false">
      <c r="A46" s="45"/>
      <c r="I46" s="45"/>
      <c r="N46" s="45"/>
    </row>
    <row r="47" customFormat="false" ht="14.25" hidden="false" customHeight="true" outlineLevel="0" collapsed="false">
      <c r="A47" s="45"/>
      <c r="I47" s="45"/>
      <c r="N47" s="45"/>
    </row>
    <row r="48" customFormat="false" ht="14.25" hidden="false" customHeight="true" outlineLevel="0" collapsed="false">
      <c r="A48" s="45"/>
      <c r="I48" s="45"/>
      <c r="N48" s="45"/>
    </row>
    <row r="49" customFormat="false" ht="14.25" hidden="false" customHeight="true" outlineLevel="0" collapsed="false">
      <c r="A49" s="45"/>
      <c r="I49" s="45"/>
      <c r="N49" s="45"/>
    </row>
    <row r="50" customFormat="false" ht="14.25" hidden="false" customHeight="true" outlineLevel="0" collapsed="false">
      <c r="A50" s="45"/>
      <c r="I50" s="45"/>
      <c r="N50" s="45"/>
    </row>
    <row r="51" customFormat="false" ht="14.25" hidden="false" customHeight="true" outlineLevel="0" collapsed="false">
      <c r="A51" s="45"/>
      <c r="I51" s="45"/>
      <c r="N51" s="45"/>
    </row>
    <row r="52" customFormat="false" ht="14.25" hidden="false" customHeight="true" outlineLevel="0" collapsed="false">
      <c r="A52" s="45"/>
      <c r="I52" s="45"/>
      <c r="N52" s="45"/>
    </row>
    <row r="53" customFormat="false" ht="14.25" hidden="false" customHeight="true" outlineLevel="0" collapsed="false">
      <c r="A53" s="45"/>
      <c r="I53" s="45"/>
      <c r="N53" s="45"/>
    </row>
    <row r="54" customFormat="false" ht="14.25" hidden="false" customHeight="true" outlineLevel="0" collapsed="false">
      <c r="A54" s="45"/>
      <c r="I54" s="45"/>
      <c r="N54" s="45"/>
    </row>
    <row r="55" customFormat="false" ht="14.25" hidden="false" customHeight="true" outlineLevel="0" collapsed="false">
      <c r="A55" s="45"/>
      <c r="I55" s="45"/>
      <c r="N55" s="45"/>
    </row>
    <row r="56" customFormat="false" ht="14.25" hidden="false" customHeight="true" outlineLevel="0" collapsed="false">
      <c r="A56" s="45"/>
      <c r="I56" s="45"/>
      <c r="N56" s="45"/>
    </row>
    <row r="57" customFormat="false" ht="14.25" hidden="false" customHeight="true" outlineLevel="0" collapsed="false">
      <c r="A57" s="45"/>
      <c r="I57" s="45"/>
      <c r="N57" s="45"/>
    </row>
    <row r="58" customFormat="false" ht="14.25" hidden="false" customHeight="true" outlineLevel="0" collapsed="false">
      <c r="A58" s="45"/>
      <c r="I58" s="45"/>
      <c r="N58" s="45"/>
    </row>
    <row r="59" customFormat="false" ht="14.25" hidden="false" customHeight="true" outlineLevel="0" collapsed="false">
      <c r="A59" s="45"/>
      <c r="I59" s="45"/>
      <c r="N59" s="45"/>
    </row>
  </sheetData>
  <mergeCells count="2">
    <mergeCell ref="I1:L1"/>
    <mergeCell ref="N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9" width="13"/>
    <col collapsed="false" customWidth="true" hidden="false" outlineLevel="0" max="2" min="2" style="49" width="14"/>
    <col collapsed="false" customWidth="true" hidden="false" outlineLevel="0" max="3" min="3" style="49" width="15"/>
    <col collapsed="false" customWidth="true" hidden="false" outlineLevel="0" max="4" min="4" style="49" width="12"/>
    <col collapsed="false" customWidth="true" hidden="false" outlineLevel="0" max="6" min="5" style="49" width="11"/>
    <col collapsed="false" customWidth="true" hidden="false" outlineLevel="0" max="8" min="7" style="49" width="10"/>
    <col collapsed="false" customWidth="true" hidden="false" outlineLevel="0" max="10" min="9" style="49" width="9"/>
    <col collapsed="false" customWidth="true" hidden="false" outlineLevel="0" max="11" min="11" style="49" width="14"/>
    <col collapsed="false" customWidth="true" hidden="false" outlineLevel="0" max="12" min="12" style="49" width="9"/>
    <col collapsed="false" customWidth="true" hidden="false" outlineLevel="0" max="13" min="13" style="49" width="15"/>
    <col collapsed="false" customWidth="true" hidden="false" outlineLevel="0" max="14" min="14" style="49" width="8"/>
    <col collapsed="false" customWidth="true" hidden="false" outlineLevel="0" max="15" min="15" style="49" width="13"/>
    <col collapsed="false" customWidth="true" hidden="false" outlineLevel="0" max="16" min="16" style="49" width="9"/>
    <col collapsed="false" customWidth="true" hidden="false" outlineLevel="0" max="18" min="18" style="49" width="30"/>
    <col collapsed="false" customWidth="true" hidden="false" outlineLevel="0" max="19" min="19" style="49" width="14"/>
  </cols>
  <sheetData>
    <row r="1" customFormat="false" ht="18" hidden="false" customHeight="true" outlineLevel="0" collapsed="false">
      <c r="A1" s="50" t="s">
        <v>30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customFormat="false" ht="15" hidden="false" customHeight="true" outlineLevel="0" collapsed="false">
      <c r="A2" s="51" t="s">
        <v>31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4" customFormat="false" ht="15" hidden="false" customHeight="true" outlineLevel="0" collapsed="false">
      <c r="A4" s="3" t="s">
        <v>20</v>
      </c>
      <c r="B4" s="3" t="s">
        <v>32</v>
      </c>
      <c r="C4" s="3" t="s">
        <v>10</v>
      </c>
      <c r="D4" s="3" t="s">
        <v>33</v>
      </c>
      <c r="E4" s="3" t="s">
        <v>34</v>
      </c>
      <c r="F4" s="3" t="s">
        <v>35</v>
      </c>
      <c r="G4" s="3" t="s">
        <v>4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R4" s="52" t="s">
        <v>45</v>
      </c>
      <c r="S4" s="52"/>
    </row>
    <row r="5" customFormat="false" ht="15" hidden="false" customHeight="true" outlineLevel="0" collapsed="false">
      <c r="A5" s="53" t="n">
        <f aca="false">'Raw-Data'!I39</f>
        <v>46186</v>
      </c>
      <c r="B5" s="5" t="n">
        <f aca="false">'Raw-Data'!J39</f>
        <v>125</v>
      </c>
      <c r="C5" s="7" t="n">
        <f aca="false">'Raw-Data'!K39</f>
        <v>0.939393939393939</v>
      </c>
      <c r="D5" s="7" t="n">
        <v>0.9</v>
      </c>
      <c r="E5" s="54" t="n">
        <v>0.05</v>
      </c>
      <c r="F5" s="7" t="n">
        <f aca="false">MAX(0,D5-3*SQRT(D5*(1-D5)/B5))</f>
        <v>0.819501552810008</v>
      </c>
      <c r="G5" s="6" t="n">
        <v>0.95</v>
      </c>
      <c r="H5" s="55" t="n">
        <f aca="false">(C5-D5)/E5</f>
        <v>0.78787878787878</v>
      </c>
      <c r="I5" s="55" t="n">
        <v>0</v>
      </c>
      <c r="J5" s="55" t="n">
        <v>0</v>
      </c>
      <c r="K5" s="56" t="n">
        <f aca="false" t="array" ref="K5:K5">IFERROR(OR(ABS(I5)&gt;=4, ABS(J5)&gt;=4),FALSE())</f>
        <v>0</v>
      </c>
      <c r="L5" s="5" t="n">
        <v>0</v>
      </c>
      <c r="M5" s="7" t="n">
        <f aca="false">IF(P5="y","",C5)</f>
        <v>0.939393939393939</v>
      </c>
      <c r="N5" s="5" t="n">
        <v>1</v>
      </c>
      <c r="O5" s="5" t="str">
        <f aca="false">IF(C5&gt;=G5,"Yes","No")</f>
        <v>No</v>
      </c>
      <c r="P5" s="57"/>
      <c r="R5" s="58" t="s">
        <v>4</v>
      </c>
      <c r="S5" s="59" t="n">
        <v>0.95</v>
      </c>
    </row>
    <row r="6" customFormat="false" ht="15" hidden="false" customHeight="true" outlineLevel="0" collapsed="false">
      <c r="A6" s="60" t="n">
        <f aca="false">'Raw-Data'!I38</f>
        <v>46187</v>
      </c>
      <c r="B6" s="61" t="n">
        <f aca="false">'Raw-Data'!J38</f>
        <v>112</v>
      </c>
      <c r="C6" s="62" t="n">
        <f aca="false">'Raw-Data'!K38</f>
        <v>0.9375</v>
      </c>
      <c r="D6" s="62" t="n">
        <f aca="true">IF(NOT($K5),D5,AVERAGE(OFFSET($M5,-1*MAX($L5,N5),0):OFFSET($M5,0,0)))</f>
        <v>0.9</v>
      </c>
      <c r="E6" s="63" t="n">
        <f aca="true">IF(NOT($K5),E5,IFERROR(STDEV(OFFSET($M5,-1*MAX($L5,N5),0):OFFSET($M5,0,0)),E5))</f>
        <v>0.05</v>
      </c>
      <c r="F6" s="62" t="n">
        <f aca="false">MAX(0,D6-3*SQRT(D6*(1-D6)/B6))</f>
        <v>0.814957993572924</v>
      </c>
      <c r="G6" s="64" t="n">
        <v>0.95</v>
      </c>
      <c r="H6" s="65" t="n">
        <f aca="false">(C6-D6)/E6</f>
        <v>0.75</v>
      </c>
      <c r="I6" s="65" t="n">
        <f aca="false">IF(P6="y",I5,IF(K5,0,MAX(0,I5+H6-0.5)))</f>
        <v>0.25</v>
      </c>
      <c r="J6" s="65" t="n">
        <f aca="false">IF(P6="y",J5,IF(K5,0,MAX(0,J5-H6+0.5)))</f>
        <v>0</v>
      </c>
      <c r="K6" s="61" t="n">
        <f aca="false" t="array" ref="K6:K6">IFERROR(OR(ABS(I6)&gt;=4, ABS(J6)&gt;=4),FALSE())</f>
        <v>0</v>
      </c>
      <c r="L6" s="61" t="n">
        <f aca="false">IF(K5,0,L5+1)</f>
        <v>1</v>
      </c>
      <c r="M6" s="62" t="n">
        <f aca="false">IF(P6="y","",C6)</f>
        <v>0.9375</v>
      </c>
      <c r="N6" s="61" t="n">
        <f aca="false">MIN(5,N5+1)</f>
        <v>2</v>
      </c>
      <c r="O6" s="66" t="str">
        <f aca="false">IF(C6&gt;=G6,"Yes","No")</f>
        <v>No</v>
      </c>
      <c r="P6" s="57"/>
      <c r="R6" s="58" t="s">
        <v>46</v>
      </c>
      <c r="S6" s="67" t="n">
        <v>37</v>
      </c>
    </row>
    <row r="7" customFormat="false" ht="15" hidden="false" customHeight="true" outlineLevel="0" collapsed="false">
      <c r="A7" s="53" t="n">
        <f aca="false">'Raw-Data'!I37</f>
        <v>46188</v>
      </c>
      <c r="B7" s="5" t="n">
        <f aca="false">'Raw-Data'!J37</f>
        <v>101</v>
      </c>
      <c r="C7" s="7" t="n">
        <f aca="false">'Raw-Data'!K37</f>
        <v>0.908045977011494</v>
      </c>
      <c r="D7" s="7" t="n">
        <f aca="true">IF(NOT($K6),D6,AVERAGE(OFFSET($M6,-1*MAX($L6,N6),0):OFFSET($M6,0,0)))</f>
        <v>0.9</v>
      </c>
      <c r="E7" s="54" t="n">
        <f aca="true">IF(NOT($K6),E6,IFERROR(STDEV(OFFSET($M6,-1*MAX($L6,N6),0):OFFSET($M6,0,0)),E6))</f>
        <v>0.05</v>
      </c>
      <c r="F7" s="7" t="n">
        <f aca="false">MAX(0,D7-3*SQRT(D7*(1-D7)/B7))</f>
        <v>0.810446652881101</v>
      </c>
      <c r="G7" s="6" t="n">
        <v>0.95</v>
      </c>
      <c r="H7" s="55" t="n">
        <f aca="false">(C7-D7)/E7</f>
        <v>0.16091954022988</v>
      </c>
      <c r="I7" s="55" t="n">
        <f aca="false">IF(P7="y",I6,IF(K6,0,MAX(0,I6+H7-0.5)))</f>
        <v>0</v>
      </c>
      <c r="J7" s="55" t="n">
        <f aca="false">IF(P7="y",J6,IF(K6,0,MAX(0,J6-H7+0.5)))</f>
        <v>0.33908045977012</v>
      </c>
      <c r="K7" s="56" t="n">
        <f aca="false" t="array" ref="K7:K7">IFERROR(OR(ABS(I7)&gt;=4, ABS(J7)&gt;=4),FALSE())</f>
        <v>0</v>
      </c>
      <c r="L7" s="5" t="n">
        <f aca="false">IF(K6,0,L6+1)</f>
        <v>2</v>
      </c>
      <c r="M7" s="7" t="n">
        <f aca="false">IF(P7="y","",C7)</f>
        <v>0.908045977011494</v>
      </c>
      <c r="N7" s="5" t="n">
        <f aca="false">MIN(5,N6+1)</f>
        <v>3</v>
      </c>
      <c r="O7" s="5" t="str">
        <f aca="false">IF(C7&gt;=G7,"Yes","No")</f>
        <v>No</v>
      </c>
      <c r="P7" s="57"/>
      <c r="R7" s="58" t="s">
        <v>47</v>
      </c>
      <c r="S7" s="67" t="n">
        <f aca="false">COUNTIF(K5:K41,TRUE())</f>
        <v>3</v>
      </c>
    </row>
    <row r="8" customFormat="false" ht="15" hidden="false" customHeight="true" outlineLevel="0" collapsed="false">
      <c r="A8" s="60" t="n">
        <f aca="false">'Raw-Data'!I36</f>
        <v>46189</v>
      </c>
      <c r="B8" s="61" t="n">
        <f aca="false">'Raw-Data'!J36</f>
        <v>114</v>
      </c>
      <c r="C8" s="62" t="n">
        <f aca="false">'Raw-Data'!K36</f>
        <v>0.935483870967741</v>
      </c>
      <c r="D8" s="62" t="n">
        <f aca="true">IF(NOT($K7),D7,AVERAGE(OFFSET($M7,-1*MAX($L7,N7),0):OFFSET($M7,0,0)))</f>
        <v>0.9</v>
      </c>
      <c r="E8" s="63" t="n">
        <f aca="true">IF(NOT($K7),E7,IFERROR(STDEV(OFFSET($M7,-1*MAX($L7,N7),0):OFFSET($M7,0,0)),E7))</f>
        <v>0.05</v>
      </c>
      <c r="F8" s="62" t="n">
        <f aca="false">MAX(0,D8-3*SQRT(D8*(1-D8)/B8))</f>
        <v>0.815707276957648</v>
      </c>
      <c r="G8" s="64" t="n">
        <v>0.95</v>
      </c>
      <c r="H8" s="65" t="n">
        <f aca="false">(C8-D8)/E8</f>
        <v>0.709677419354819</v>
      </c>
      <c r="I8" s="65" t="n">
        <f aca="false">IF(P8="y",I7,IF(K7,0,MAX(0,I7+H8-0.5)))</f>
        <v>0.209677419354819</v>
      </c>
      <c r="J8" s="65" t="n">
        <f aca="false">IF(P8="y",J7,IF(K7,0,MAX(0,J7-H8+0.5)))</f>
        <v>0.1294030404153</v>
      </c>
      <c r="K8" s="61" t="n">
        <f aca="false" t="array" ref="K8:K8">IFERROR(OR(ABS(I8)&gt;=4, ABS(J8)&gt;=4),FALSE())</f>
        <v>0</v>
      </c>
      <c r="L8" s="61" t="n">
        <f aca="false">IF(K7,0,L7+1)</f>
        <v>3</v>
      </c>
      <c r="M8" s="62" t="n">
        <f aca="false">IF(P8="y","",C8)</f>
        <v>0.935483870967741</v>
      </c>
      <c r="N8" s="61" t="n">
        <f aca="false">MIN(5,N7+1)</f>
        <v>4</v>
      </c>
      <c r="O8" s="66" t="str">
        <f aca="false">IF(C8&gt;=G8,"Yes","No")</f>
        <v>No</v>
      </c>
      <c r="P8" s="57"/>
      <c r="R8" s="58" t="s">
        <v>48</v>
      </c>
      <c r="S8" s="68" t="str">
        <f aca="false">COUNTIF(O5:O41,"Yes")&amp;"/"&amp;37</f>
        <v>9/37</v>
      </c>
    </row>
    <row r="9" customFormat="false" ht="15" hidden="false" customHeight="true" outlineLevel="0" collapsed="false">
      <c r="A9" s="53" t="n">
        <f aca="false">'Raw-Data'!I35</f>
        <v>46190</v>
      </c>
      <c r="B9" s="5" t="n">
        <f aca="false">'Raw-Data'!J35</f>
        <v>104</v>
      </c>
      <c r="C9" s="7" t="n">
        <f aca="false">'Raw-Data'!K35</f>
        <v>0.879518072289156</v>
      </c>
      <c r="D9" s="7" t="n">
        <f aca="true">IF(NOT($K8),D8,AVERAGE(OFFSET($M8,-1*MAX($L8,N8),0):OFFSET($M8,0,0)))</f>
        <v>0.9</v>
      </c>
      <c r="E9" s="54" t="n">
        <f aca="true">IF(NOT($K8),E8,IFERROR(STDEV(OFFSET($M8,-1*MAX($L8,N8),0):OFFSET($M8,0,0)),E8))</f>
        <v>0.05</v>
      </c>
      <c r="F9" s="7" t="n">
        <f aca="false">MAX(0,D9-3*SQRT(D9*(1-D9)/B9))</f>
        <v>0.811747739187817</v>
      </c>
      <c r="G9" s="6" t="n">
        <v>0.95</v>
      </c>
      <c r="H9" s="55" t="n">
        <f aca="false">(C9-D9)/E9</f>
        <v>-0.40963855421688</v>
      </c>
      <c r="I9" s="55" t="n">
        <f aca="false">IF(P9="y",I8,IF(K8,0,MAX(0,I8+H9-0.5)))</f>
        <v>0</v>
      </c>
      <c r="J9" s="55" t="n">
        <f aca="false">IF(P9="y",J8,IF(K8,0,MAX(0,J8-H9+0.5)))</f>
        <v>1.03904159463218</v>
      </c>
      <c r="K9" s="56" t="n">
        <f aca="false" t="array" ref="K9:K9">IFERROR(OR(ABS(I9)&gt;=4, ABS(J9)&gt;=4),FALSE())</f>
        <v>0</v>
      </c>
      <c r="L9" s="5" t="n">
        <f aca="false">IF(K8,0,L8+1)</f>
        <v>4</v>
      </c>
      <c r="M9" s="7" t="n">
        <f aca="false">IF(P9="y","",C9)</f>
        <v>0.879518072289156</v>
      </c>
      <c r="N9" s="5" t="n">
        <f aca="false">MIN(5,N8+1)</f>
        <v>5</v>
      </c>
      <c r="O9" s="5" t="str">
        <f aca="false">IF(C9&gt;=G9,"Yes","No")</f>
        <v>No</v>
      </c>
      <c r="P9" s="57"/>
      <c r="R9" s="58" t="s">
        <v>49</v>
      </c>
      <c r="S9" s="69" t="n">
        <f aca="false">AVERAGE(C5:C41)</f>
        <v>0.906269722395099</v>
      </c>
    </row>
    <row r="10" customFormat="false" ht="15" hidden="false" customHeight="true" outlineLevel="0" collapsed="false">
      <c r="A10" s="60" t="n">
        <f aca="false">'Raw-Data'!I34</f>
        <v>46191</v>
      </c>
      <c r="B10" s="61" t="n">
        <f aca="false">'Raw-Data'!J34</f>
        <v>95</v>
      </c>
      <c r="C10" s="62" t="n">
        <f aca="false">'Raw-Data'!K34</f>
        <v>0.952941176470588</v>
      </c>
      <c r="D10" s="62" t="n">
        <f aca="true">IF(NOT($K9),D9,AVERAGE(OFFSET($M9,-1*MAX($L9,N9),0):OFFSET($M9,0,0)))</f>
        <v>0.9</v>
      </c>
      <c r="E10" s="63" t="n">
        <f aca="true">IF(NOT($K9),E9,IFERROR(STDEV(OFFSET($M9,-1*MAX($L9,N9),0):OFFSET($M9,0,0)),E9))</f>
        <v>0.05</v>
      </c>
      <c r="F10" s="62" t="n">
        <f aca="false">MAX(0,D10-3*SQRT(D10*(1-D10)/B10))</f>
        <v>0.807661948312336</v>
      </c>
      <c r="G10" s="64" t="n">
        <v>0.95</v>
      </c>
      <c r="H10" s="65" t="n">
        <f aca="false">(C10-D10)/E10</f>
        <v>1.05882352941176</v>
      </c>
      <c r="I10" s="65" t="n">
        <f aca="false">IF(P10="y",I9,IF(K9,0,MAX(0,I9+H10-0.5)))</f>
        <v>0.558823529411759</v>
      </c>
      <c r="J10" s="65" t="n">
        <f aca="false">IF(P10="y",J9,IF(K9,0,MAX(0,J9-H10+0.5)))</f>
        <v>0.480218065220422</v>
      </c>
      <c r="K10" s="61" t="n">
        <f aca="false" t="array" ref="K10:K10">IFERROR(OR(ABS(I10)&gt;=4, ABS(J10)&gt;=4),FALSE())</f>
        <v>0</v>
      </c>
      <c r="L10" s="61" t="n">
        <f aca="false">IF(K9,0,L9+1)</f>
        <v>5</v>
      </c>
      <c r="M10" s="62" t="n">
        <f aca="false">IF(P10="y","",C10)</f>
        <v>0.952941176470588</v>
      </c>
      <c r="N10" s="61" t="n">
        <f aca="false">MIN(5,N9+1)</f>
        <v>5</v>
      </c>
      <c r="O10" s="66" t="str">
        <f aca="false">IF(C10&gt;=G10,"Yes","No")</f>
        <v>Yes</v>
      </c>
      <c r="P10" s="57"/>
      <c r="R10" s="58" t="s">
        <v>50</v>
      </c>
      <c r="S10" s="69" t="n">
        <f aca="false">AVERAGE(C5:C41)-G5</f>
        <v>-0.0437302776049012</v>
      </c>
    </row>
    <row r="11" customFormat="false" ht="15" hidden="false" customHeight="true" outlineLevel="0" collapsed="false">
      <c r="A11" s="53" t="n">
        <f aca="false">'Raw-Data'!I33</f>
        <v>46192</v>
      </c>
      <c r="B11" s="5" t="n">
        <f aca="false">'Raw-Data'!J33</f>
        <v>107</v>
      </c>
      <c r="C11" s="7" t="n">
        <f aca="false">'Raw-Data'!K33</f>
        <v>0.872340425531914</v>
      </c>
      <c r="D11" s="7" t="n">
        <f aca="true">IF(NOT($K10),D10,AVERAGE(OFFSET($M10,-1*MAX($L10,N10),0):OFFSET($M10,0,0)))</f>
        <v>0.9</v>
      </c>
      <c r="E11" s="54" t="n">
        <f aca="true">IF(NOT($K10),E10,IFERROR(STDEV(OFFSET($M10,-1*MAX($L10,N10),0):OFFSET($M10,0,0)),E10))</f>
        <v>0.05</v>
      </c>
      <c r="F11" s="7" t="n">
        <f aca="false">MAX(0,D11-3*SQRT(D11*(1-D11)/B11))</f>
        <v>0.81299371598589</v>
      </c>
      <c r="G11" s="6" t="n">
        <v>0.95</v>
      </c>
      <c r="H11" s="55" t="n">
        <f aca="false">(C11-D11)/E11</f>
        <v>-0.55319148936172</v>
      </c>
      <c r="I11" s="55" t="n">
        <f aca="false">IF(P11="y",I10,IF(K10,0,MAX(0,I10+H11-0.5)))</f>
        <v>0</v>
      </c>
      <c r="J11" s="55" t="n">
        <f aca="false">IF(P11="y",J10,IF(K10,0,MAX(0,J10-H11+0.5)))</f>
        <v>1.53340955458214</v>
      </c>
      <c r="K11" s="56" t="n">
        <f aca="false" t="array" ref="K11:K11">IFERROR(OR(ABS(I11)&gt;=4, ABS(J11)&gt;=4),FALSE())</f>
        <v>0</v>
      </c>
      <c r="L11" s="5" t="n">
        <f aca="false">IF(K10,0,L10+1)</f>
        <v>6</v>
      </c>
      <c r="M11" s="7" t="n">
        <f aca="false">IF(P11="y","",C11)</f>
        <v>0.872340425531914</v>
      </c>
      <c r="N11" s="5" t="n">
        <f aca="false">MIN(5,N10+1)</f>
        <v>5</v>
      </c>
      <c r="O11" s="5" t="str">
        <f aca="false">IF(C11&gt;=G11,"Yes","No")</f>
        <v>No</v>
      </c>
      <c r="P11" s="57"/>
      <c r="R11" s="58" t="s">
        <v>51</v>
      </c>
      <c r="S11" s="69" t="n">
        <f aca="false">D41</f>
        <v>0.919942618136139</v>
      </c>
    </row>
    <row r="12" customFormat="false" ht="15" hidden="false" customHeight="true" outlineLevel="0" collapsed="false">
      <c r="A12" s="60" t="n">
        <f aca="false">'Raw-Data'!I32</f>
        <v>46193</v>
      </c>
      <c r="B12" s="61" t="n">
        <f aca="false">'Raw-Data'!J32</f>
        <v>130</v>
      </c>
      <c r="C12" s="62" t="n">
        <f aca="false">'Raw-Data'!K32</f>
        <v>0.622807017543859</v>
      </c>
      <c r="D12" s="62" t="n">
        <f aca="true">IF(NOT($K11),D11,AVERAGE(OFFSET($M11,-1*MAX($L11,N11),0):OFFSET($M11,0,0)))</f>
        <v>0.9</v>
      </c>
      <c r="E12" s="63" t="n">
        <f aca="true">IF(NOT($K11),E11,IFERROR(STDEV(OFFSET($M11,-1*MAX($L11,N11),0):OFFSET($M11,0,0)),E11))</f>
        <v>0.05</v>
      </c>
      <c r="F12" s="62" t="n">
        <f aca="false">MAX(0,D12-3*SQRT(D12*(1-D12)/B12))</f>
        <v>0.821064778262368</v>
      </c>
      <c r="G12" s="64" t="n">
        <v>0.95</v>
      </c>
      <c r="H12" s="65" t="n">
        <f aca="false">(C12-D12)/E12</f>
        <v>-5.54385964912282</v>
      </c>
      <c r="I12" s="65" t="n">
        <f aca="false">IF(P12="y",I11,IF(K11,0,MAX(0,I11+H12-0.5)))</f>
        <v>0</v>
      </c>
      <c r="J12" s="65" t="n">
        <f aca="false">IF(P12="y",J11,IF(K11,0,MAX(0,J11-H12+0.5)))</f>
        <v>7.57726920370496</v>
      </c>
      <c r="K12" s="61" t="n">
        <f aca="false" t="array" ref="K12:K12">IFERROR(OR(ABS(I12)&gt;=4, ABS(J12)&gt;=4),FALSE())</f>
        <v>1</v>
      </c>
      <c r="L12" s="61" t="n">
        <f aca="false">IF(K11,0,L11+1)</f>
        <v>7</v>
      </c>
      <c r="M12" s="62" t="n">
        <f aca="false">IF(P12="y","",C12)</f>
        <v>0.622807017543859</v>
      </c>
      <c r="N12" s="61" t="n">
        <f aca="false">MIN(5,N11+1)</f>
        <v>5</v>
      </c>
      <c r="O12" s="66" t="str">
        <f aca="false">IF(C12&gt;=G12,"Yes","No")</f>
        <v>No</v>
      </c>
      <c r="P12" s="57"/>
      <c r="R12" s="58" t="s">
        <v>52</v>
      </c>
      <c r="S12" s="69" t="n">
        <f aca="false">F41</f>
        <v>0.850130171008522</v>
      </c>
    </row>
    <row r="13" customFormat="false" ht="15" hidden="false" customHeight="true" outlineLevel="0" collapsed="false">
      <c r="A13" s="53" t="n">
        <f aca="false">'Raw-Data'!I31</f>
        <v>46194</v>
      </c>
      <c r="B13" s="5" t="n">
        <f aca="false">'Raw-Data'!J31</f>
        <v>133</v>
      </c>
      <c r="C13" s="7" t="n">
        <f aca="false">'Raw-Data'!K31</f>
        <v>0.847457627118644</v>
      </c>
      <c r="D13" s="7" t="n">
        <f aca="true">IF(NOT($K12),D12,AVERAGE(OFFSET($M12,-1*MAX($L12,N12),0):OFFSET($M12,0,0)))</f>
        <v>0.881003809901086</v>
      </c>
      <c r="E13" s="54" t="n">
        <f aca="true">IF(NOT($K12),E12,IFERROR(STDEV(OFFSET($M12,-1*MAX($L12,N12),0):OFFSET($M12,0,0)),E12))</f>
        <v>0.108376600341609</v>
      </c>
      <c r="F13" s="7" t="n">
        <f aca="false">MAX(0,D13-3*SQRT(D13*(1-D13)/B13))</f>
        <v>0.796776902284372</v>
      </c>
      <c r="G13" s="6" t="n">
        <v>0.95</v>
      </c>
      <c r="H13" s="55" t="n">
        <f aca="false">(C13-D13)/E13</f>
        <v>-0.309533447964809</v>
      </c>
      <c r="I13" s="55" t="n">
        <f aca="false">IF(P13="y",I12,IF(K12,0,MAX(0,I12+H13-0.5)))</f>
        <v>0</v>
      </c>
      <c r="J13" s="55" t="n">
        <f aca="false">IF(P13="y",J12,IF(K12,0,MAX(0,J12-H13+0.5)))</f>
        <v>0</v>
      </c>
      <c r="K13" s="56" t="n">
        <f aca="false" t="array" ref="K13:K13">IFERROR(OR(ABS(I13)&gt;=4, ABS(J13)&gt;=4),FALSE())</f>
        <v>0</v>
      </c>
      <c r="L13" s="5" t="n">
        <f aca="false">IF(K12,0,L12+1)</f>
        <v>0</v>
      </c>
      <c r="M13" s="7" t="n">
        <f aca="false">IF(P13="y","",C13)</f>
        <v>0.847457627118644</v>
      </c>
      <c r="N13" s="5" t="n">
        <f aca="false">MIN(5,N12+1)</f>
        <v>5</v>
      </c>
      <c r="O13" s="5" t="str">
        <f aca="false">IF(C13&gt;=G13,"Yes","No")</f>
        <v>No</v>
      </c>
      <c r="P13" s="57"/>
    </row>
    <row r="14" customFormat="false" ht="15" hidden="false" customHeight="true" outlineLevel="0" collapsed="false">
      <c r="A14" s="60" t="n">
        <f aca="false">'Raw-Data'!I30</f>
        <v>46195</v>
      </c>
      <c r="B14" s="61" t="n">
        <f aca="false">'Raw-Data'!J30</f>
        <v>100</v>
      </c>
      <c r="C14" s="62" t="n">
        <f aca="false">'Raw-Data'!K30</f>
        <v>0.868131868131868</v>
      </c>
      <c r="D14" s="62" t="n">
        <f aca="true">IF(NOT($K13),D13,AVERAGE(OFFSET($M13,-1*MAX($L13,N13),0):OFFSET($M13,0,0)))</f>
        <v>0.881003809901086</v>
      </c>
      <c r="E14" s="63" t="n">
        <f aca="true">IF(NOT($K13),E13,IFERROR(STDEV(OFFSET($M13,-1*MAX($L13,N13),0):OFFSET($M13,0,0)),E13))</f>
        <v>0.108376600341609</v>
      </c>
      <c r="F14" s="62" t="n">
        <f aca="false">MAX(0,D14-3*SQRT(D14*(1-D14)/B14))</f>
        <v>0.783868601476555</v>
      </c>
      <c r="G14" s="64" t="n">
        <v>0.95</v>
      </c>
      <c r="H14" s="65" t="n">
        <f aca="false">(C14-D14)/E14</f>
        <v>-0.118770488543148</v>
      </c>
      <c r="I14" s="65" t="n">
        <f aca="false">IF(P14="y",I13,IF(K13,0,MAX(0,I13+H14-0.5)))</f>
        <v>0</v>
      </c>
      <c r="J14" s="65" t="n">
        <f aca="false">IF(P14="y",J13,IF(K13,0,MAX(0,J13-H14+0.5)))</f>
        <v>0.618770488543148</v>
      </c>
      <c r="K14" s="61" t="n">
        <f aca="false" t="array" ref="K14:K14">IFERROR(OR(ABS(I14)&gt;=4, ABS(J14)&gt;=4),FALSE())</f>
        <v>0</v>
      </c>
      <c r="L14" s="61" t="n">
        <f aca="false">IF(K13,0,L13+1)</f>
        <v>1</v>
      </c>
      <c r="M14" s="62" t="n">
        <f aca="false">IF(P14="y","",C14)</f>
        <v>0.868131868131868</v>
      </c>
      <c r="N14" s="61" t="n">
        <f aca="false">MIN(5,N13+1)</f>
        <v>5</v>
      </c>
      <c r="O14" s="66" t="str">
        <f aca="false">IF(C14&gt;=G14,"Yes","No")</f>
        <v>No</v>
      </c>
      <c r="P14" s="57"/>
    </row>
    <row r="15" customFormat="false" ht="15" hidden="false" customHeight="true" outlineLevel="0" collapsed="false">
      <c r="A15" s="53" t="n">
        <f aca="false">'Raw-Data'!I29</f>
        <v>46196</v>
      </c>
      <c r="B15" s="5" t="n">
        <f aca="false">'Raw-Data'!J29</f>
        <v>126</v>
      </c>
      <c r="C15" s="7" t="n">
        <f aca="false">'Raw-Data'!K29</f>
        <v>0.759615384615384</v>
      </c>
      <c r="D15" s="7" t="n">
        <f aca="true">IF(NOT($K14),D14,AVERAGE(OFFSET($M14,-1*MAX($L14,N14),0):OFFSET($M14,0,0)))</f>
        <v>0.881003809901086</v>
      </c>
      <c r="E15" s="54" t="n">
        <f aca="true">IF(NOT($K14),E14,IFERROR(STDEV(OFFSET($M14,-1*MAX($L14,N14),0):OFFSET($M14,0,0)),E14))</f>
        <v>0.108376600341609</v>
      </c>
      <c r="F15" s="7" t="n">
        <f aca="false">MAX(0,D15-3*SQRT(D15*(1-D15)/B15))</f>
        <v>0.794468888444545</v>
      </c>
      <c r="G15" s="6" t="n">
        <v>0.95</v>
      </c>
      <c r="H15" s="55" t="n">
        <f aca="false">(C15-D15)/E15</f>
        <v>-1.12006120235438</v>
      </c>
      <c r="I15" s="55" t="n">
        <f aca="false">IF(P15="y",I14,IF(K14,0,MAX(0,I14+H15-0.5)))</f>
        <v>0</v>
      </c>
      <c r="J15" s="55" t="n">
        <f aca="false">IF(P15="y",J14,IF(K14,0,MAX(0,J14-H15+0.5)))</f>
        <v>2.23883169089753</v>
      </c>
      <c r="K15" s="56" t="n">
        <f aca="false" t="array" ref="K15:K15">IFERROR(OR(ABS(I15)&gt;=4, ABS(J15)&gt;=4),FALSE())</f>
        <v>0</v>
      </c>
      <c r="L15" s="5" t="n">
        <f aca="false">IF(K14,0,L14+1)</f>
        <v>2</v>
      </c>
      <c r="M15" s="7" t="n">
        <f aca="false">IF(P15="y","",C15)</f>
        <v>0.759615384615384</v>
      </c>
      <c r="N15" s="5" t="n">
        <f aca="false">MIN(5,N14+1)</f>
        <v>5</v>
      </c>
      <c r="O15" s="5" t="str">
        <f aca="false">IF(C15&gt;=G15,"Yes","No")</f>
        <v>No</v>
      </c>
      <c r="P15" s="57"/>
    </row>
    <row r="16" customFormat="false" ht="15" hidden="false" customHeight="true" outlineLevel="0" collapsed="false">
      <c r="A16" s="60" t="n">
        <f aca="false">'Raw-Data'!I28</f>
        <v>46197</v>
      </c>
      <c r="B16" s="61" t="n">
        <f aca="false">'Raw-Data'!J28</f>
        <v>105</v>
      </c>
      <c r="C16" s="62" t="n">
        <f aca="false">'Raw-Data'!K28</f>
        <v>0.786516853932584</v>
      </c>
      <c r="D16" s="62" t="n">
        <f aca="true">IF(NOT($K15),D15,AVERAGE(OFFSET($M15,-1*MAX($L15,N15),0):OFFSET($M15,0,0)))</f>
        <v>0.881003809901086</v>
      </c>
      <c r="E16" s="63" t="n">
        <f aca="true">IF(NOT($K15),E15,IFERROR(STDEV(OFFSET($M15,-1*MAX($L15,N15),0):OFFSET($M15,0,0)),E15))</f>
        <v>0.108376600341609</v>
      </c>
      <c r="F16" s="62" t="n">
        <f aca="false">MAX(0,D16-3*SQRT(D16*(1-D16)/B16))</f>
        <v>0.786209552913715</v>
      </c>
      <c r="G16" s="64" t="n">
        <v>0.95</v>
      </c>
      <c r="H16" s="65" t="n">
        <f aca="false">(C16-D16)/E16</f>
        <v>-0.871839083996678</v>
      </c>
      <c r="I16" s="65" t="n">
        <f aca="false">IF(P16="y",I15,IF(K15,0,MAX(0,I15+H16-0.5)))</f>
        <v>0</v>
      </c>
      <c r="J16" s="65" t="n">
        <f aca="false">IF(P16="y",J15,IF(K15,0,MAX(0,J15-H16+0.5)))</f>
        <v>3.6106707748942</v>
      </c>
      <c r="K16" s="61" t="n">
        <f aca="false" t="array" ref="K16:K16">IFERROR(OR(ABS(I16)&gt;=4, ABS(J16)&gt;=4),FALSE())</f>
        <v>0</v>
      </c>
      <c r="L16" s="61" t="n">
        <f aca="false">IF(K15,0,L15+1)</f>
        <v>3</v>
      </c>
      <c r="M16" s="62" t="n">
        <f aca="false">IF(P16="y","",C16)</f>
        <v>0.786516853932584</v>
      </c>
      <c r="N16" s="61" t="n">
        <f aca="false">MIN(5,N15+1)</f>
        <v>5</v>
      </c>
      <c r="O16" s="66" t="str">
        <f aca="false">IF(C16&gt;=G16,"Yes","No")</f>
        <v>No</v>
      </c>
      <c r="P16" s="57"/>
    </row>
    <row r="17" customFormat="false" ht="15" hidden="false" customHeight="true" outlineLevel="0" collapsed="false">
      <c r="A17" s="53" t="n">
        <f aca="false">'Raw-Data'!I27</f>
        <v>46198</v>
      </c>
      <c r="B17" s="5" t="n">
        <f aca="false">'Raw-Data'!J27</f>
        <v>106</v>
      </c>
      <c r="C17" s="7" t="n">
        <f aca="false">'Raw-Data'!K27</f>
        <v>0.956989247311828</v>
      </c>
      <c r="D17" s="7" t="n">
        <f aca="true">IF(NOT($K16),D16,AVERAGE(OFFSET($M16,-1*MAX($L16,N16),0):OFFSET($M16,0,0)))</f>
        <v>0.881003809901086</v>
      </c>
      <c r="E17" s="54" t="n">
        <f aca="true">IF(NOT($K16),E16,IFERROR(STDEV(OFFSET($M16,-1*MAX($L16,N16),0):OFFSET($M16,0,0)),E16))</f>
        <v>0.108376600341609</v>
      </c>
      <c r="F17" s="7" t="n">
        <f aca="false">MAX(0,D17-3*SQRT(D17*(1-D17)/B17))</f>
        <v>0.786657755221213</v>
      </c>
      <c r="G17" s="6" t="n">
        <v>0.95</v>
      </c>
      <c r="H17" s="55" t="n">
        <f aca="false">(C17-D17)/E17</f>
        <v>0.701124017280772</v>
      </c>
      <c r="I17" s="55" t="n">
        <f aca="false">IF(P17="y",I16,IF(K16,0,MAX(0,I16+H17-0.5)))</f>
        <v>0.201124017280772</v>
      </c>
      <c r="J17" s="55" t="n">
        <f aca="false">IF(P17="y",J16,IF(K16,0,MAX(0,J16-H17+0.5)))</f>
        <v>3.40954675761343</v>
      </c>
      <c r="K17" s="56" t="n">
        <f aca="false" t="array" ref="K17:K17">IFERROR(OR(ABS(I17)&gt;=4, ABS(J17)&gt;=4),FALSE())</f>
        <v>0</v>
      </c>
      <c r="L17" s="5" t="n">
        <f aca="false">IF(K16,0,L16+1)</f>
        <v>4</v>
      </c>
      <c r="M17" s="7" t="n">
        <f aca="false">IF(P17="y","",C17)</f>
        <v>0.956989247311828</v>
      </c>
      <c r="N17" s="5" t="n">
        <f aca="false">MIN(5,N16+1)</f>
        <v>5</v>
      </c>
      <c r="O17" s="5" t="str">
        <f aca="false">IF(C17&gt;=G17,"Yes","No")</f>
        <v>Yes</v>
      </c>
      <c r="P17" s="57"/>
    </row>
    <row r="18" customFormat="false" ht="15" hidden="false" customHeight="true" outlineLevel="0" collapsed="false">
      <c r="A18" s="60" t="n">
        <f aca="false">'Raw-Data'!I26</f>
        <v>46199</v>
      </c>
      <c r="B18" s="61" t="n">
        <f aca="false">'Raw-Data'!J26</f>
        <v>128</v>
      </c>
      <c r="C18" s="62" t="n">
        <f aca="false">'Raw-Data'!K26</f>
        <v>0.902912621359223</v>
      </c>
      <c r="D18" s="62" t="n">
        <f aca="true">IF(NOT($K17),D17,AVERAGE(OFFSET($M17,-1*MAX($L17,N17),0):OFFSET($M17,0,0)))</f>
        <v>0.881003809901086</v>
      </c>
      <c r="E18" s="63" t="n">
        <f aca="true">IF(NOT($K17),E17,IFERROR(STDEV(OFFSET($M17,-1*MAX($L17,N17),0):OFFSET($M17,0,0)),E17))</f>
        <v>0.108376600341609</v>
      </c>
      <c r="F18" s="62" t="n">
        <f aca="false">MAX(0,D18-3*SQRT(D18*(1-D18)/B18))</f>
        <v>0.795147604189893</v>
      </c>
      <c r="G18" s="64" t="n">
        <v>0.95</v>
      </c>
      <c r="H18" s="65" t="n">
        <f aca="false">(C18-D18)/E18</f>
        <v>0.202154444677899</v>
      </c>
      <c r="I18" s="65" t="n">
        <f aca="false">IF(P18="y",I17,IF(K17,0,MAX(0,I17+H18-0.5)))</f>
        <v>0</v>
      </c>
      <c r="J18" s="65" t="n">
        <f aca="false">IF(P18="y",J17,IF(K17,0,MAX(0,J17-H18+0.5)))</f>
        <v>3.70739231293553</v>
      </c>
      <c r="K18" s="61" t="n">
        <f aca="false" t="array" ref="K18:K18">IFERROR(OR(ABS(I18)&gt;=4, ABS(J18)&gt;=4),FALSE())</f>
        <v>0</v>
      </c>
      <c r="L18" s="61" t="n">
        <f aca="false">IF(K17,0,L17+1)</f>
        <v>5</v>
      </c>
      <c r="M18" s="62" t="n">
        <f aca="false">IF(P18="y","",C18)</f>
        <v>0.902912621359223</v>
      </c>
      <c r="N18" s="61" t="n">
        <f aca="false">MIN(5,N17+1)</f>
        <v>5</v>
      </c>
      <c r="O18" s="66" t="str">
        <f aca="false">IF(C18&gt;=G18,"Yes","No")</f>
        <v>No</v>
      </c>
      <c r="P18" s="57"/>
    </row>
    <row r="19" customFormat="false" ht="15" hidden="false" customHeight="true" outlineLevel="0" collapsed="false">
      <c r="A19" s="53" t="n">
        <f aca="false">'Raw-Data'!I25</f>
        <v>46200</v>
      </c>
      <c r="B19" s="5" t="n">
        <f aca="false">'Raw-Data'!J25</f>
        <v>122</v>
      </c>
      <c r="C19" s="7" t="n">
        <f aca="false">'Raw-Data'!K25</f>
        <v>0.842592592592592</v>
      </c>
      <c r="D19" s="7" t="n">
        <f aca="true">IF(NOT($K18),D18,AVERAGE(OFFSET($M18,-1*MAX($L18,N18),0):OFFSET($M18,0,0)))</f>
        <v>0.881003809901086</v>
      </c>
      <c r="E19" s="54" t="n">
        <f aca="true">IF(NOT($K18),E18,IFERROR(STDEV(OFFSET($M18,-1*MAX($L18,N18),0):OFFSET($M18,0,0)),E18))</f>
        <v>0.108376600341609</v>
      </c>
      <c r="F19" s="7" t="n">
        <f aca="false">MAX(0,D19-3*SQRT(D19*(1-D19)/B19))</f>
        <v>0.793061724283982</v>
      </c>
      <c r="G19" s="6" t="n">
        <v>0.95</v>
      </c>
      <c r="H19" s="55" t="n">
        <f aca="false">(C19-D19)/E19</f>
        <v>-0.35442353042465</v>
      </c>
      <c r="I19" s="55" t="n">
        <f aca="false">IF(P19="y",I18,IF(K18,0,MAX(0,I18+H19-0.5)))</f>
        <v>0</v>
      </c>
      <c r="J19" s="55" t="n">
        <f aca="false">IF(P19="y",J18,IF(K18,0,MAX(0,J18-H19+0.5)))</f>
        <v>4.56181584336018</v>
      </c>
      <c r="K19" s="56" t="n">
        <f aca="false" t="array" ref="K19:K19">IFERROR(OR(ABS(I19)&gt;=4, ABS(J19)&gt;=4),FALSE())</f>
        <v>1</v>
      </c>
      <c r="L19" s="5" t="n">
        <f aca="false">IF(K18,0,L18+1)</f>
        <v>6</v>
      </c>
      <c r="M19" s="7" t="n">
        <f aca="false">IF(P19="y","",C19)</f>
        <v>0.842592592592592</v>
      </c>
      <c r="N19" s="5" t="n">
        <f aca="false">MIN(5,N18+1)</f>
        <v>5</v>
      </c>
      <c r="O19" s="5" t="str">
        <f aca="false">IF(C19&gt;=G19,"Yes","No")</f>
        <v>No</v>
      </c>
      <c r="P19" s="57"/>
    </row>
    <row r="20" customFormat="false" ht="15" hidden="false" customHeight="true" outlineLevel="0" collapsed="false">
      <c r="A20" s="60" t="n">
        <f aca="false">'Raw-Data'!I24</f>
        <v>46201</v>
      </c>
      <c r="B20" s="61" t="n">
        <f aca="false">'Raw-Data'!J24</f>
        <v>102</v>
      </c>
      <c r="C20" s="62" t="n">
        <f aca="false">'Raw-Data'!K24</f>
        <v>0.955555555555555</v>
      </c>
      <c r="D20" s="62" t="n">
        <f aca="true">IF(NOT($K19),D19,AVERAGE(OFFSET($M19,-1*MAX($L19,N19),0):OFFSET($M19,0,0)))</f>
        <v>0.852030885008875</v>
      </c>
      <c r="E20" s="63" t="n">
        <f aca="true">IF(NOT($K19),E19,IFERROR(STDEV(OFFSET($M19,-1*MAX($L19,N19),0):OFFSET($M19,0,0)),E19))</f>
        <v>0.0668420521343432</v>
      </c>
      <c r="F20" s="62" t="n">
        <f aca="false">MAX(0,D20-3*SQRT(D20*(1-D20)/B20))</f>
        <v>0.746559566353935</v>
      </c>
      <c r="G20" s="64" t="n">
        <v>0.95</v>
      </c>
      <c r="H20" s="65" t="n">
        <f aca="false">(C20-D20)/E20</f>
        <v>1.54879551481469</v>
      </c>
      <c r="I20" s="65" t="n">
        <f aca="false">IF(P20="y",I19,IF(K19,0,MAX(0,I19+H20-0.5)))</f>
        <v>0</v>
      </c>
      <c r="J20" s="65" t="n">
        <f aca="false">IF(P20="y",J19,IF(K19,0,MAX(0,J19-H20+0.5)))</f>
        <v>0</v>
      </c>
      <c r="K20" s="61" t="n">
        <f aca="false" t="array" ref="K20:K20">IFERROR(OR(ABS(I20)&gt;=4, ABS(J20)&gt;=4),FALSE())</f>
        <v>0</v>
      </c>
      <c r="L20" s="61" t="n">
        <f aca="false">IF(K19,0,L19+1)</f>
        <v>0</v>
      </c>
      <c r="M20" s="62" t="n">
        <f aca="false">IF(P20="y","",C20)</f>
        <v>0.955555555555555</v>
      </c>
      <c r="N20" s="61" t="n">
        <f aca="false">MIN(5,N19+1)</f>
        <v>5</v>
      </c>
      <c r="O20" s="66" t="str">
        <f aca="false">IF(C20&gt;=G20,"Yes","No")</f>
        <v>Yes</v>
      </c>
      <c r="P20" s="57"/>
    </row>
    <row r="21" customFormat="false" ht="15" hidden="false" customHeight="true" outlineLevel="0" collapsed="false">
      <c r="A21" s="53" t="n">
        <f aca="false">'Raw-Data'!I23</f>
        <v>46202</v>
      </c>
      <c r="B21" s="5" t="n">
        <f aca="false">'Raw-Data'!J23</f>
        <v>107</v>
      </c>
      <c r="C21" s="7" t="n">
        <f aca="false">'Raw-Data'!K23</f>
        <v>0.96629213483146</v>
      </c>
      <c r="D21" s="7" t="n">
        <f aca="true">IF(NOT($K20),D20,AVERAGE(OFFSET($M20,-1*MAX($L20,N20),0):OFFSET($M20,0,0)))</f>
        <v>0.852030885008875</v>
      </c>
      <c r="E21" s="54" t="n">
        <f aca="true">IF(NOT($K20),E20,IFERROR(STDEV(OFFSET($M20,-1*MAX($L20,N20),0):OFFSET($M20,0,0)),E20))</f>
        <v>0.0668420521343432</v>
      </c>
      <c r="F21" s="7" t="n">
        <f aca="false">MAX(0,D21-3*SQRT(D21*(1-D21)/B21))</f>
        <v>0.749053330790074</v>
      </c>
      <c r="G21" s="6" t="n">
        <v>0.95</v>
      </c>
      <c r="H21" s="55" t="n">
        <f aca="false">(C21-D21)/E21</f>
        <v>1.70942163165392</v>
      </c>
      <c r="I21" s="55" t="n">
        <f aca="false">IF(P21="y",I20,IF(K20,0,MAX(0,I20+H21-0.5)))</f>
        <v>1.20942163165392</v>
      </c>
      <c r="J21" s="55" t="n">
        <f aca="false">IF(P21="y",J20,IF(K20,0,MAX(0,J20-H21+0.5)))</f>
        <v>0</v>
      </c>
      <c r="K21" s="56" t="n">
        <f aca="false" t="array" ref="K21:K21">IFERROR(OR(ABS(I21)&gt;=4, ABS(J21)&gt;=4),FALSE())</f>
        <v>0</v>
      </c>
      <c r="L21" s="5" t="n">
        <f aca="false">IF(K20,0,L20+1)</f>
        <v>1</v>
      </c>
      <c r="M21" s="7" t="n">
        <f aca="false">IF(P21="y","",C21)</f>
        <v>0.96629213483146</v>
      </c>
      <c r="N21" s="5" t="n">
        <f aca="false">MIN(5,N20+1)</f>
        <v>5</v>
      </c>
      <c r="O21" s="5" t="str">
        <f aca="false">IF(C21&gt;=G21,"Yes","No")</f>
        <v>Yes</v>
      </c>
      <c r="P21" s="57"/>
    </row>
    <row r="22" customFormat="false" ht="15" hidden="false" customHeight="true" outlineLevel="0" collapsed="false">
      <c r="A22" s="60" t="n">
        <f aca="false">'Raw-Data'!I22</f>
        <v>46203</v>
      </c>
      <c r="B22" s="61" t="n">
        <f aca="false">'Raw-Data'!J22</f>
        <v>93</v>
      </c>
      <c r="C22" s="62" t="n">
        <f aca="false">'Raw-Data'!K22</f>
        <v>0.858974358974358</v>
      </c>
      <c r="D22" s="62" t="n">
        <f aca="true">IF(NOT($K21),D21,AVERAGE(OFFSET($M21,-1*MAX($L21,N21),0):OFFSET($M21,0,0)))</f>
        <v>0.852030885008875</v>
      </c>
      <c r="E22" s="63" t="n">
        <f aca="true">IF(NOT($K21),E21,IFERROR(STDEV(OFFSET($M21,-1*MAX($L21,N21),0):OFFSET($M21,0,0)),E21))</f>
        <v>0.0668420521343432</v>
      </c>
      <c r="F22" s="62" t="n">
        <f aca="false">MAX(0,D22-3*SQRT(D22*(1-D22)/B22))</f>
        <v>0.741573950180861</v>
      </c>
      <c r="G22" s="64" t="n">
        <v>0.95</v>
      </c>
      <c r="H22" s="65" t="n">
        <f aca="false">(C22-D22)/E22</f>
        <v>0.103878826932599</v>
      </c>
      <c r="I22" s="65" t="n">
        <f aca="false">IF(P22="y",I21,IF(K21,0,MAX(0,I21+H22-0.5)))</f>
        <v>0.813300458586517</v>
      </c>
      <c r="J22" s="65" t="n">
        <f aca="false">IF(P22="y",J21,IF(K21,0,MAX(0,J21-H22+0.5)))</f>
        <v>0.396121173067401</v>
      </c>
      <c r="K22" s="61" t="n">
        <f aca="false" t="array" ref="K22:K22">IFERROR(OR(ABS(I22)&gt;=4, ABS(J22)&gt;=4),FALSE())</f>
        <v>0</v>
      </c>
      <c r="L22" s="61" t="n">
        <f aca="false">IF(K21,0,L21+1)</f>
        <v>2</v>
      </c>
      <c r="M22" s="62" t="n">
        <f aca="false">IF(P22="y","",C22)</f>
        <v>0.858974358974358</v>
      </c>
      <c r="N22" s="61" t="n">
        <f aca="false">MIN(5,N21+1)</f>
        <v>5</v>
      </c>
      <c r="O22" s="66" t="str">
        <f aca="false">IF(C22&gt;=G22,"Yes","No")</f>
        <v>No</v>
      </c>
      <c r="P22" s="57"/>
    </row>
    <row r="23" customFormat="false" ht="15" hidden="false" customHeight="true" outlineLevel="0" collapsed="false">
      <c r="A23" s="53" t="n">
        <f aca="false">'Raw-Data'!I21</f>
        <v>46204</v>
      </c>
      <c r="B23" s="5" t="n">
        <f aca="false">'Raw-Data'!J21</f>
        <v>118</v>
      </c>
      <c r="C23" s="7" t="n">
        <f aca="false">'Raw-Data'!K21</f>
        <v>0.93</v>
      </c>
      <c r="D23" s="7" t="n">
        <f aca="true">IF(NOT($K22),D22,AVERAGE(OFFSET($M22,-1*MAX($L22,N22),0):OFFSET($M22,0,0)))</f>
        <v>0.852030885008875</v>
      </c>
      <c r="E23" s="54" t="n">
        <f aca="true">IF(NOT($K22),E22,IFERROR(STDEV(OFFSET($M22,-1*MAX($L22,N22),0):OFFSET($M22,0,0)),E22))</f>
        <v>0.0668420521343432</v>
      </c>
      <c r="F23" s="7" t="n">
        <f aca="false">MAX(0,D23-3*SQRT(D23*(1-D23)/B23))</f>
        <v>0.753970530712474</v>
      </c>
      <c r="G23" s="6" t="n">
        <v>0.95</v>
      </c>
      <c r="H23" s="55" t="n">
        <f aca="false">(C23-D23)/E23</f>
        <v>1.16646800182643</v>
      </c>
      <c r="I23" s="55" t="n">
        <f aca="false">IF(P23="y",I22,IF(K22,0,MAX(0,I22+H23-0.5)))</f>
        <v>1.47976846041294</v>
      </c>
      <c r="J23" s="55" t="n">
        <f aca="false">IF(P23="y",J22,IF(K22,0,MAX(0,J22-H23+0.5)))</f>
        <v>0</v>
      </c>
      <c r="K23" s="56" t="n">
        <f aca="false" t="array" ref="K23:K23">IFERROR(OR(ABS(I23)&gt;=4, ABS(J23)&gt;=4),FALSE())</f>
        <v>0</v>
      </c>
      <c r="L23" s="5" t="n">
        <f aca="false">IF(K22,0,L22+1)</f>
        <v>3</v>
      </c>
      <c r="M23" s="7" t="n">
        <f aca="false">IF(P23="y","",C23)</f>
        <v>0.93</v>
      </c>
      <c r="N23" s="5" t="n">
        <f aca="false">MIN(5,N22+1)</f>
        <v>5</v>
      </c>
      <c r="O23" s="5" t="str">
        <f aca="false">IF(C23&gt;=G23,"Yes","No")</f>
        <v>No</v>
      </c>
      <c r="P23" s="57"/>
    </row>
    <row r="24" customFormat="false" ht="15" hidden="false" customHeight="true" outlineLevel="0" collapsed="false">
      <c r="A24" s="60" t="n">
        <f aca="false">'Raw-Data'!I20</f>
        <v>46205</v>
      </c>
      <c r="B24" s="61" t="n">
        <f aca="false">'Raw-Data'!J20</f>
        <v>78</v>
      </c>
      <c r="C24" s="62" t="n">
        <f aca="false">'Raw-Data'!K20</f>
        <v>0.941176470588235</v>
      </c>
      <c r="D24" s="62" t="n">
        <f aca="true">IF(NOT($K23),D23,AVERAGE(OFFSET($M23,-1*MAX($L23,N23),0):OFFSET($M23,0,0)))</f>
        <v>0.852030885008875</v>
      </c>
      <c r="E24" s="63" t="n">
        <f aca="true">IF(NOT($K23),E23,IFERROR(STDEV(OFFSET($M23,-1*MAX($L23,N23),0):OFFSET($M23,0,0)),E23))</f>
        <v>0.0668420521343432</v>
      </c>
      <c r="F24" s="62" t="n">
        <f aca="false">MAX(0,D24-3*SQRT(D24*(1-D24)/B24))</f>
        <v>0.731419817778515</v>
      </c>
      <c r="G24" s="64" t="n">
        <v>0.95</v>
      </c>
      <c r="H24" s="65" t="n">
        <f aca="false">(C24-D24)/E24</f>
        <v>1.33367517502589</v>
      </c>
      <c r="I24" s="65" t="n">
        <f aca="false">IF(P24="y",I23,IF(K23,0,MAX(0,I23+H24-0.5)))</f>
        <v>2.31344363543884</v>
      </c>
      <c r="J24" s="65" t="n">
        <f aca="false">IF(P24="y",J23,IF(K23,0,MAX(0,J23-H24+0.5)))</f>
        <v>0</v>
      </c>
      <c r="K24" s="61" t="n">
        <f aca="false" t="array" ref="K24:K24">IFERROR(OR(ABS(I24)&gt;=4, ABS(J24)&gt;=4),FALSE())</f>
        <v>0</v>
      </c>
      <c r="L24" s="61" t="n">
        <f aca="false">IF(K23,0,L23+1)</f>
        <v>4</v>
      </c>
      <c r="M24" s="62" t="n">
        <f aca="false">IF(P24="y","",C24)</f>
        <v>0.941176470588235</v>
      </c>
      <c r="N24" s="61" t="n">
        <f aca="false">MIN(5,N23+1)</f>
        <v>5</v>
      </c>
      <c r="O24" s="66" t="str">
        <f aca="false">IF(C24&gt;=G24,"Yes","No")</f>
        <v>No</v>
      </c>
      <c r="P24" s="57"/>
    </row>
    <row r="25" customFormat="false" ht="15" hidden="false" customHeight="true" outlineLevel="0" collapsed="false">
      <c r="A25" s="53" t="n">
        <f aca="false">'Raw-Data'!I19</f>
        <v>46206</v>
      </c>
      <c r="B25" s="5" t="n">
        <f aca="false">'Raw-Data'!J19</f>
        <v>124</v>
      </c>
      <c r="C25" s="7" t="n">
        <f aca="false">'Raw-Data'!K19</f>
        <v>0.906542056074766</v>
      </c>
      <c r="D25" s="7" t="n">
        <f aca="true">IF(NOT($K24),D24,AVERAGE(OFFSET($M24,-1*MAX($L24,N24),0):OFFSET($M24,0,0)))</f>
        <v>0.852030885008875</v>
      </c>
      <c r="E25" s="54" t="n">
        <f aca="true">IF(NOT($K24),E24,IFERROR(STDEV(OFFSET($M24,-1*MAX($L24,N24),0):OFFSET($M24,0,0)),E24))</f>
        <v>0.0668420521343432</v>
      </c>
      <c r="F25" s="7" t="n">
        <f aca="false">MAX(0,D25-3*SQRT(D25*(1-D25)/B25))</f>
        <v>0.756372373423653</v>
      </c>
      <c r="G25" s="6" t="n">
        <v>0.95</v>
      </c>
      <c r="H25" s="55" t="n">
        <f aca="false">(C25-D25)/E25</f>
        <v>0.815522105101311</v>
      </c>
      <c r="I25" s="55" t="n">
        <f aca="false">IF(P25="y",I24,IF(K24,0,MAX(0,I24+H25-0.5)))</f>
        <v>2.62896574054015</v>
      </c>
      <c r="J25" s="55" t="n">
        <f aca="false">IF(P25="y",J24,IF(K24,0,MAX(0,J24-H25+0.5)))</f>
        <v>0</v>
      </c>
      <c r="K25" s="56" t="n">
        <f aca="false" t="array" ref="K25:K25">IFERROR(OR(ABS(I25)&gt;=4, ABS(J25)&gt;=4),FALSE())</f>
        <v>0</v>
      </c>
      <c r="L25" s="5" t="n">
        <f aca="false">IF(K24,0,L24+1)</f>
        <v>5</v>
      </c>
      <c r="M25" s="7" t="n">
        <f aca="false">IF(P25="y","",C25)</f>
        <v>0.906542056074766</v>
      </c>
      <c r="N25" s="5" t="n">
        <f aca="false">MIN(5,N24+1)</f>
        <v>5</v>
      </c>
      <c r="O25" s="5" t="str">
        <f aca="false">IF(C25&gt;=G25,"Yes","No")</f>
        <v>No</v>
      </c>
      <c r="P25" s="57"/>
    </row>
    <row r="26" customFormat="false" ht="15" hidden="false" customHeight="true" outlineLevel="0" collapsed="false">
      <c r="A26" s="60" t="n">
        <f aca="false">'Raw-Data'!I18</f>
        <v>46207</v>
      </c>
      <c r="B26" s="61" t="n">
        <f aca="false">'Raw-Data'!J18</f>
        <v>129</v>
      </c>
      <c r="C26" s="62" t="n">
        <f aca="false">'Raw-Data'!K18</f>
        <v>0.906542056074766</v>
      </c>
      <c r="D26" s="62" t="n">
        <f aca="true">IF(NOT($K25),D25,AVERAGE(OFFSET($M25,-1*MAX($L25,N25),0):OFFSET($M25,0,0)))</f>
        <v>0.852030885008875</v>
      </c>
      <c r="E26" s="63" t="n">
        <f aca="true">IF(NOT($K25),E25,IFERROR(STDEV(OFFSET($M25,-1*MAX($L25,N25),0):OFFSET($M25,0,0)),E25))</f>
        <v>0.0668420521343432</v>
      </c>
      <c r="F26" s="62" t="n">
        <f aca="false">MAX(0,D26-3*SQRT(D26*(1-D26)/B26))</f>
        <v>0.758244540983893</v>
      </c>
      <c r="G26" s="64" t="n">
        <v>0.95</v>
      </c>
      <c r="H26" s="65" t="n">
        <f aca="false">(C26-D26)/E26</f>
        <v>0.815522105101311</v>
      </c>
      <c r="I26" s="65" t="n">
        <f aca="false">IF(P26="y",I25,IF(K25,0,MAX(0,I25+H26-0.5)))</f>
        <v>2.94448784564146</v>
      </c>
      <c r="J26" s="65" t="n">
        <f aca="false">IF(P26="y",J25,IF(K25,0,MAX(0,J25-H26+0.5)))</f>
        <v>0</v>
      </c>
      <c r="K26" s="61" t="n">
        <f aca="false" t="array" ref="K26:K26">IFERROR(OR(ABS(I26)&gt;=4, ABS(J26)&gt;=4),FALSE())</f>
        <v>0</v>
      </c>
      <c r="L26" s="61" t="n">
        <f aca="false">IF(K25,0,L25+1)</f>
        <v>6</v>
      </c>
      <c r="M26" s="62" t="n">
        <f aca="false">IF(P26="y","",C26)</f>
        <v>0.906542056074766</v>
      </c>
      <c r="N26" s="61" t="n">
        <f aca="false">MIN(5,N25+1)</f>
        <v>5</v>
      </c>
      <c r="O26" s="66" t="str">
        <f aca="false">IF(C26&gt;=G26,"Yes","No")</f>
        <v>No</v>
      </c>
      <c r="P26" s="57"/>
    </row>
    <row r="27" customFormat="false" ht="15" hidden="false" customHeight="true" outlineLevel="0" collapsed="false">
      <c r="A27" s="53" t="n">
        <f aca="false">'Raw-Data'!I17</f>
        <v>46208</v>
      </c>
      <c r="B27" s="5" t="n">
        <f aca="false">'Raw-Data'!J17</f>
        <v>140</v>
      </c>
      <c r="C27" s="7" t="n">
        <f aca="false">'Raw-Data'!K17</f>
        <v>0.903225806451612</v>
      </c>
      <c r="D27" s="7" t="n">
        <f aca="true">IF(NOT($K26),D26,AVERAGE(OFFSET($M26,-1*MAX($L26,N26),0):OFFSET($M26,0,0)))</f>
        <v>0.852030885008875</v>
      </c>
      <c r="E27" s="54" t="n">
        <f aca="true">IF(NOT($K26),E26,IFERROR(STDEV(OFFSET($M26,-1*MAX($L26,N26),0):OFFSET($M26,0,0)),E26))</f>
        <v>0.0668420521343432</v>
      </c>
      <c r="F27" s="7" t="n">
        <f aca="false">MAX(0,D27-3*SQRT(D27*(1-D27)/B27))</f>
        <v>0.762004368915051</v>
      </c>
      <c r="G27" s="6" t="n">
        <v>0.95</v>
      </c>
      <c r="H27" s="55" t="n">
        <f aca="false">(C27-D27)/E27</f>
        <v>0.765908882328186</v>
      </c>
      <c r="I27" s="55" t="n">
        <f aca="false">IF(P27="y",I26,IF(K26,0,MAX(0,I26+H27-0.5)))</f>
        <v>3.21039672796965</v>
      </c>
      <c r="J27" s="55" t="n">
        <f aca="false">IF(P27="y",J26,IF(K26,0,MAX(0,J26-H27+0.5)))</f>
        <v>0</v>
      </c>
      <c r="K27" s="56" t="n">
        <f aca="false" t="array" ref="K27:K27">IFERROR(OR(ABS(I27)&gt;=4, ABS(J27)&gt;=4),FALSE())</f>
        <v>0</v>
      </c>
      <c r="L27" s="5" t="n">
        <f aca="false">IF(K26,0,L26+1)</f>
        <v>7</v>
      </c>
      <c r="M27" s="7" t="n">
        <f aca="false">IF(P27="y","",C27)</f>
        <v>0.903225806451612</v>
      </c>
      <c r="N27" s="5" t="n">
        <f aca="false">MIN(5,N26+1)</f>
        <v>5</v>
      </c>
      <c r="O27" s="5" t="str">
        <f aca="false">IF(C27&gt;=G27,"Yes","No")</f>
        <v>No</v>
      </c>
      <c r="P27" s="57"/>
    </row>
    <row r="28" customFormat="false" ht="15" hidden="false" customHeight="true" outlineLevel="0" collapsed="false">
      <c r="A28" s="60" t="n">
        <f aca="false">'Raw-Data'!I16</f>
        <v>46209</v>
      </c>
      <c r="B28" s="61" t="n">
        <f aca="false">'Raw-Data'!J16</f>
        <v>94</v>
      </c>
      <c r="C28" s="62" t="n">
        <f aca="false">'Raw-Data'!K16</f>
        <v>0.934210526315789</v>
      </c>
      <c r="D28" s="62" t="n">
        <f aca="true">IF(NOT($K27),D27,AVERAGE(OFFSET($M27,-1*MAX($L27,N27),0):OFFSET($M27,0,0)))</f>
        <v>0.852030885008875</v>
      </c>
      <c r="E28" s="63" t="n">
        <f aca="true">IF(NOT($K27),E27,IFERROR(STDEV(OFFSET($M27,-1*MAX($L27,N27),0):OFFSET($M27,0,0)),E27))</f>
        <v>0.0668420521343432</v>
      </c>
      <c r="F28" s="62" t="n">
        <f aca="false">MAX(0,D28-3*SQRT(D28*(1-D28)/B28))</f>
        <v>0.742163058033719</v>
      </c>
      <c r="G28" s="64" t="n">
        <v>0.95</v>
      </c>
      <c r="H28" s="65" t="n">
        <f aca="false">(C28-D28)/E28</f>
        <v>1.22946017787941</v>
      </c>
      <c r="I28" s="65" t="n">
        <f aca="false">IF(P28="y",I27,IF(K27,0,MAX(0,I27+H28-0.5)))</f>
        <v>3.93985690584905</v>
      </c>
      <c r="J28" s="65" t="n">
        <f aca="false">IF(P28="y",J27,IF(K27,0,MAX(0,J27-H28+0.5)))</f>
        <v>0</v>
      </c>
      <c r="K28" s="61" t="n">
        <f aca="false" t="array" ref="K28:K28">IFERROR(OR(ABS(I28)&gt;=4, ABS(J28)&gt;=4),FALSE())</f>
        <v>0</v>
      </c>
      <c r="L28" s="61" t="n">
        <f aca="false">IF(K27,0,L27+1)</f>
        <v>8</v>
      </c>
      <c r="M28" s="62" t="n">
        <f aca="false">IF(P28="y","",C28)</f>
        <v>0.934210526315789</v>
      </c>
      <c r="N28" s="61" t="n">
        <f aca="false">MIN(5,N27+1)</f>
        <v>5</v>
      </c>
      <c r="O28" s="66" t="str">
        <f aca="false">IF(C28&gt;=G28,"Yes","No")</f>
        <v>No</v>
      </c>
      <c r="P28" s="57"/>
    </row>
    <row r="29" customFormat="false" ht="15" hidden="false" customHeight="true" outlineLevel="0" collapsed="false">
      <c r="A29" s="53" t="n">
        <f aca="false">'Raw-Data'!I15</f>
        <v>46210</v>
      </c>
      <c r="B29" s="5" t="n">
        <f aca="false">'Raw-Data'!J15</f>
        <v>115</v>
      </c>
      <c r="C29" s="7" t="n">
        <f aca="false">'Raw-Data'!K15</f>
        <v>0.896907216494845</v>
      </c>
      <c r="D29" s="7" t="n">
        <f aca="true">IF(NOT($K28),D28,AVERAGE(OFFSET($M28,-1*MAX($L28,N28),0):OFFSET($M28,0,0)))</f>
        <v>0.852030885008875</v>
      </c>
      <c r="E29" s="54" t="n">
        <f aca="true">IF(NOT($K28),E28,IFERROR(STDEV(OFFSET($M28,-1*MAX($L28,N28),0):OFFSET($M28,0,0)),E28))</f>
        <v>0.0668420521343432</v>
      </c>
      <c r="F29" s="7" t="n">
        <f aca="false">MAX(0,D29-3*SQRT(D29*(1-D29)/B29))</f>
        <v>0.752699717169483</v>
      </c>
      <c r="G29" s="6" t="n">
        <v>0.95</v>
      </c>
      <c r="H29" s="55" t="n">
        <f aca="false">(C29-D29)/E29</f>
        <v>0.671378721224402</v>
      </c>
      <c r="I29" s="55" t="n">
        <f aca="false">IF(P29="y",I28,IF(K28,0,MAX(0,I28+H29-0.5)))</f>
        <v>4.11123562707346</v>
      </c>
      <c r="J29" s="55" t="n">
        <f aca="false">IF(P29="y",J28,IF(K28,0,MAX(0,J28-H29+0.5)))</f>
        <v>0</v>
      </c>
      <c r="K29" s="56" t="n">
        <f aca="false" t="array" ref="K29:K29">IFERROR(OR(ABS(I29)&gt;=4, ABS(J29)&gt;=4),FALSE())</f>
        <v>1</v>
      </c>
      <c r="L29" s="5" t="n">
        <f aca="false">IF(K28,0,L28+1)</f>
        <v>9</v>
      </c>
      <c r="M29" s="7" t="n">
        <f aca="false">IF(P29="y","",C29)</f>
        <v>0.896907216494845</v>
      </c>
      <c r="N29" s="5" t="n">
        <f aca="false">MIN(5,N28+1)</f>
        <v>5</v>
      </c>
      <c r="O29" s="5" t="str">
        <f aca="false">IF(C29&gt;=G29,"Yes","No")</f>
        <v>No</v>
      </c>
      <c r="P29" s="57"/>
    </row>
    <row r="30" customFormat="false" ht="15" hidden="false" customHeight="true" outlineLevel="0" collapsed="false">
      <c r="A30" s="60" t="n">
        <f aca="false">'Raw-Data'!I14</f>
        <v>46211</v>
      </c>
      <c r="B30" s="61" t="n">
        <f aca="false">'Raw-Data'!J14</f>
        <v>108</v>
      </c>
      <c r="C30" s="62" t="n">
        <f aca="false">'Raw-Data'!K14</f>
        <v>0.906976744186046</v>
      </c>
      <c r="D30" s="62" t="n">
        <f aca="true">IF(NOT($K29),D29,AVERAGE(OFFSET($M29,-1*MAX($L29,N29),0):OFFSET($M29,0,0)))</f>
        <v>0.919942618136139</v>
      </c>
      <c r="E30" s="63" t="n">
        <f aca="true">IF(NOT($K29),E29,IFERROR(STDEV(OFFSET($M29,-1*MAX($L29,N29),0):OFFSET($M29,0,0)),E29))</f>
        <v>0.0317254190188178</v>
      </c>
      <c r="F30" s="62" t="n">
        <f aca="false">MAX(0,D30-3*SQRT(D30*(1-D30)/B30))</f>
        <v>0.841601378744527</v>
      </c>
      <c r="G30" s="64" t="n">
        <v>0.95</v>
      </c>
      <c r="H30" s="65" t="n">
        <f aca="false">(C30-D30)/E30</f>
        <v>-0.408690392470526</v>
      </c>
      <c r="I30" s="65" t="n">
        <f aca="false">IF(P30="y",I29,IF(K29,0,MAX(0,I29+H30-0.5)))</f>
        <v>0</v>
      </c>
      <c r="J30" s="65" t="n">
        <f aca="false">IF(P30="y",J29,IF(K29,0,MAX(0,J29-H30+0.5)))</f>
        <v>0</v>
      </c>
      <c r="K30" s="61" t="n">
        <f aca="false" t="array" ref="K30:K30">IFERROR(OR(ABS(I30)&gt;=4, ABS(J30)&gt;=4),FALSE())</f>
        <v>0</v>
      </c>
      <c r="L30" s="61" t="n">
        <f aca="false">IF(K29,0,L29+1)</f>
        <v>0</v>
      </c>
      <c r="M30" s="62" t="n">
        <f aca="false">IF(P30="y","",C30)</f>
        <v>0.906976744186046</v>
      </c>
      <c r="N30" s="61" t="n">
        <f aca="false">MIN(5,N29+1)</f>
        <v>5</v>
      </c>
      <c r="O30" s="66" t="str">
        <f aca="false">IF(C30&gt;=G30,"Yes","No")</f>
        <v>No</v>
      </c>
      <c r="P30" s="57"/>
    </row>
    <row r="31" customFormat="false" ht="15" hidden="false" customHeight="true" outlineLevel="0" collapsed="false">
      <c r="A31" s="53" t="n">
        <f aca="false">'Raw-Data'!I13</f>
        <v>46212</v>
      </c>
      <c r="B31" s="5" t="n">
        <f aca="false">'Raw-Data'!J13</f>
        <v>105</v>
      </c>
      <c r="C31" s="7" t="n">
        <f aca="false">'Raw-Data'!K13</f>
        <v>0.978260869565217</v>
      </c>
      <c r="D31" s="7" t="n">
        <f aca="true">IF(NOT($K30),D30,AVERAGE(OFFSET($M30,-1*MAX($L30,N30),0):OFFSET($M30,0,0)))</f>
        <v>0.919942618136139</v>
      </c>
      <c r="E31" s="54" t="n">
        <f aca="true">IF(NOT($K30),E30,IFERROR(STDEV(OFFSET($M30,-1*MAX($L30,N30),0):OFFSET($M30,0,0)),E30))</f>
        <v>0.0317254190188178</v>
      </c>
      <c r="F31" s="7" t="n">
        <f aca="false">MAX(0,D31-3*SQRT(D31*(1-D31)/B31))</f>
        <v>0.840490099985108</v>
      </c>
      <c r="G31" s="6" t="n">
        <v>0.95</v>
      </c>
      <c r="H31" s="55" t="n">
        <f aca="false">(C31-D31)/E31</f>
        <v>1.83821847694075</v>
      </c>
      <c r="I31" s="55" t="n">
        <f aca="false">IF(P31="y",I30,IF(K30,0,MAX(0,I30+H31-0.5)))</f>
        <v>1.33821847694075</v>
      </c>
      <c r="J31" s="55" t="n">
        <f aca="false">IF(P31="y",J30,IF(K30,0,MAX(0,J30-H31+0.5)))</f>
        <v>0</v>
      </c>
      <c r="K31" s="56" t="n">
        <f aca="false" t="array" ref="K31:K31">IFERROR(OR(ABS(I31)&gt;=4, ABS(J31)&gt;=4),FALSE())</f>
        <v>0</v>
      </c>
      <c r="L31" s="5" t="n">
        <f aca="false">IF(K30,0,L30+1)</f>
        <v>1</v>
      </c>
      <c r="M31" s="7" t="n">
        <f aca="false">IF(P31="y","",C31)</f>
        <v>0.978260869565217</v>
      </c>
      <c r="N31" s="5" t="n">
        <f aca="false">MIN(5,N30+1)</f>
        <v>5</v>
      </c>
      <c r="O31" s="5" t="str">
        <f aca="false">IF(C31&gt;=G31,"Yes","No")</f>
        <v>Yes</v>
      </c>
      <c r="P31" s="57"/>
    </row>
    <row r="32" customFormat="false" ht="15" hidden="false" customHeight="true" outlineLevel="0" collapsed="false">
      <c r="A32" s="60" t="n">
        <f aca="false">'Raw-Data'!I12</f>
        <v>46213</v>
      </c>
      <c r="B32" s="61" t="n">
        <f aca="false">'Raw-Data'!J12</f>
        <v>137</v>
      </c>
      <c r="C32" s="62" t="n">
        <f aca="false">'Raw-Data'!K12</f>
        <v>0.954128440366972</v>
      </c>
      <c r="D32" s="62" t="n">
        <f aca="true">IF(NOT($K31),D31,AVERAGE(OFFSET($M31,-1*MAX($L31,N31),0):OFFSET($M31,0,0)))</f>
        <v>0.919942618136139</v>
      </c>
      <c r="E32" s="63" t="n">
        <f aca="true">IF(NOT($K31),E31,IFERROR(STDEV(OFFSET($M31,-1*MAX($L31,N31),0):OFFSET($M31,0,0)),E31))</f>
        <v>0.0317254190188178</v>
      </c>
      <c r="F32" s="62" t="n">
        <f aca="false">MAX(0,D32-3*SQRT(D32*(1-D32)/B32))</f>
        <v>0.850385427611374</v>
      </c>
      <c r="G32" s="64" t="n">
        <v>0.95</v>
      </c>
      <c r="H32" s="65" t="n">
        <f aca="false">(C32-D32)/E32</f>
        <v>1.0775530564484</v>
      </c>
      <c r="I32" s="65" t="n">
        <f aca="false">IF(P32="y",I31,IF(K31,0,MAX(0,I31+H32-0.5)))</f>
        <v>1.91577153338916</v>
      </c>
      <c r="J32" s="65" t="n">
        <f aca="false">IF(P32="y",J31,IF(K31,0,MAX(0,J31-H32+0.5)))</f>
        <v>0</v>
      </c>
      <c r="K32" s="61" t="n">
        <f aca="false" t="array" ref="K32:K32">IFERROR(OR(ABS(I32)&gt;=4, ABS(J32)&gt;=4),FALSE())</f>
        <v>0</v>
      </c>
      <c r="L32" s="61" t="n">
        <f aca="false">IF(K31,0,L31+1)</f>
        <v>2</v>
      </c>
      <c r="M32" s="62" t="n">
        <f aca="false">IF(P32="y","",C32)</f>
        <v>0.954128440366972</v>
      </c>
      <c r="N32" s="61" t="n">
        <f aca="false">MIN(5,N31+1)</f>
        <v>5</v>
      </c>
      <c r="O32" s="66" t="str">
        <f aca="false">IF(C32&gt;=G32,"Yes","No")</f>
        <v>Yes</v>
      </c>
      <c r="P32" s="57"/>
    </row>
    <row r="33" customFormat="false" ht="15" hidden="false" customHeight="true" outlineLevel="0" collapsed="false">
      <c r="A33" s="53" t="n">
        <f aca="false">'Raw-Data'!I11</f>
        <v>46214</v>
      </c>
      <c r="B33" s="5" t="n">
        <f aca="false">'Raw-Data'!J11</f>
        <v>136</v>
      </c>
      <c r="C33" s="7" t="n">
        <f aca="false">'Raw-Data'!K11</f>
        <v>0.943925233644859</v>
      </c>
      <c r="D33" s="7" t="n">
        <f aca="true">IF(NOT($K32),D32,AVERAGE(OFFSET($M32,-1*MAX($L32,N32),0):OFFSET($M32,0,0)))</f>
        <v>0.919942618136139</v>
      </c>
      <c r="E33" s="54" t="n">
        <f aca="true">IF(NOT($K32),E32,IFERROR(STDEV(OFFSET($M32,-1*MAX($L32,N32),0):OFFSET($M32,0,0)),E32))</f>
        <v>0.0317254190188178</v>
      </c>
      <c r="F33" s="7" t="n">
        <f aca="false">MAX(0,D33-3*SQRT(D33*(1-D33)/B33))</f>
        <v>0.850130171008522</v>
      </c>
      <c r="G33" s="6" t="n">
        <v>0.95</v>
      </c>
      <c r="H33" s="55" t="n">
        <f aca="false">(C33-D33)/E33</f>
        <v>0.755943223145305</v>
      </c>
      <c r="I33" s="55" t="n">
        <f aca="false">IF(P33="y",I32,IF(K32,0,MAX(0,I32+H33-0.5)))</f>
        <v>2.17171475653446</v>
      </c>
      <c r="J33" s="55" t="n">
        <f aca="false">IF(P33="y",J32,IF(K32,0,MAX(0,J32-H33+0.5)))</f>
        <v>0</v>
      </c>
      <c r="K33" s="56" t="n">
        <f aca="false" t="array" ref="K33:K33">IFERROR(OR(ABS(I33)&gt;=4, ABS(J33)&gt;=4),FALSE())</f>
        <v>0</v>
      </c>
      <c r="L33" s="5" t="n">
        <f aca="false">IF(K32,0,L32+1)</f>
        <v>3</v>
      </c>
      <c r="M33" s="7" t="n">
        <f aca="false">IF(P33="y","",C33)</f>
        <v>0.943925233644859</v>
      </c>
      <c r="N33" s="5" t="n">
        <f aca="false">MIN(5,N32+1)</f>
        <v>5</v>
      </c>
      <c r="O33" s="5" t="str">
        <f aca="false">IF(C33&gt;=G33,"Yes","No")</f>
        <v>No</v>
      </c>
      <c r="P33" s="57"/>
    </row>
    <row r="34" customFormat="false" ht="15" hidden="false" customHeight="true" outlineLevel="0" collapsed="false">
      <c r="A34" s="60" t="n">
        <f aca="false">'Raw-Data'!I10</f>
        <v>46215</v>
      </c>
      <c r="B34" s="61" t="n">
        <f aca="false">'Raw-Data'!J10</f>
        <v>137</v>
      </c>
      <c r="C34" s="62" t="n">
        <f aca="false">'Raw-Data'!K10</f>
        <v>0.963302752293578</v>
      </c>
      <c r="D34" s="62" t="n">
        <f aca="true">IF(NOT($K33),D33,AVERAGE(OFFSET($M33,-1*MAX($L33,N33),0):OFFSET($M33,0,0)))</f>
        <v>0.919942618136139</v>
      </c>
      <c r="E34" s="63" t="n">
        <f aca="true">IF(NOT($K33),E33,IFERROR(STDEV(OFFSET($M33,-1*MAX($L33,N33),0):OFFSET($M33,0,0)),E33))</f>
        <v>0.0317254190188178</v>
      </c>
      <c r="F34" s="62" t="n">
        <f aca="false">MAX(0,D34-3*SQRT(D34*(1-D34)/B34))</f>
        <v>0.850385427611374</v>
      </c>
      <c r="G34" s="64" t="n">
        <v>0.95</v>
      </c>
      <c r="H34" s="65" t="n">
        <f aca="false">(C34-D34)/E34</f>
        <v>1.36673164605708</v>
      </c>
      <c r="I34" s="65" t="n">
        <f aca="false">IF(P34="y",I33,IF(K33,0,MAX(0,I33+H34-0.5)))</f>
        <v>3.03844640259154</v>
      </c>
      <c r="J34" s="65" t="n">
        <f aca="false">IF(P34="y",J33,IF(K33,0,MAX(0,J33-H34+0.5)))</f>
        <v>0</v>
      </c>
      <c r="K34" s="61" t="n">
        <f aca="false" t="array" ref="K34:K34">IFERROR(OR(ABS(I34)&gt;=4, ABS(J34)&gt;=4),FALSE())</f>
        <v>0</v>
      </c>
      <c r="L34" s="61" t="n">
        <f aca="false">IF(K33,0,L33+1)</f>
        <v>4</v>
      </c>
      <c r="M34" s="62" t="n">
        <f aca="false">IF(P34="y","",C34)</f>
        <v>0.963302752293578</v>
      </c>
      <c r="N34" s="61" t="n">
        <f aca="false">MIN(5,N33+1)</f>
        <v>5</v>
      </c>
      <c r="O34" s="66" t="str">
        <f aca="false">IF(C34&gt;=G34,"Yes","No")</f>
        <v>Yes</v>
      </c>
      <c r="P34" s="57"/>
    </row>
    <row r="35" customFormat="false" ht="15" hidden="false" customHeight="true" outlineLevel="0" collapsed="false">
      <c r="A35" s="53" t="n">
        <f aca="false">'Raw-Data'!I9</f>
        <v>46216</v>
      </c>
      <c r="B35" s="5" t="n">
        <f aca="false">'Raw-Data'!J9</f>
        <v>131</v>
      </c>
      <c r="C35" s="7" t="n">
        <f aca="false">'Raw-Data'!K9</f>
        <v>0.901785714285714</v>
      </c>
      <c r="D35" s="7" t="n">
        <f aca="true">IF(NOT($K34),D34,AVERAGE(OFFSET($M34,-1*MAX($L34,N34),0):OFFSET($M34,0,0)))</f>
        <v>0.919942618136139</v>
      </c>
      <c r="E35" s="54" t="n">
        <f aca="true">IF(NOT($K34),E34,IFERROR(STDEV(OFFSET($M34,-1*MAX($L34,N34),0):OFFSET($M34,0,0)),E34))</f>
        <v>0.0317254190188178</v>
      </c>
      <c r="F35" s="7" t="n">
        <f aca="false">MAX(0,D35-3*SQRT(D35*(1-D35)/B35))</f>
        <v>0.848810348199162</v>
      </c>
      <c r="G35" s="6" t="n">
        <v>0.95</v>
      </c>
      <c r="H35" s="55" t="n">
        <f aca="false">(C35-D35)/E35</f>
        <v>-0.572314075336716</v>
      </c>
      <c r="I35" s="55" t="n">
        <f aca="false">IF(P35="y",I34,IF(K34,0,MAX(0,I34+H35-0.5)))</f>
        <v>1.96613232725483</v>
      </c>
      <c r="J35" s="55" t="n">
        <f aca="false">IF(P35="y",J34,IF(K34,0,MAX(0,J34-H35+0.5)))</f>
        <v>1.07231407533672</v>
      </c>
      <c r="K35" s="56" t="n">
        <f aca="false" t="array" ref="K35:K35">IFERROR(OR(ABS(I35)&gt;=4, ABS(J35)&gt;=4),FALSE())</f>
        <v>0</v>
      </c>
      <c r="L35" s="5" t="n">
        <f aca="false">IF(K34,0,L34+1)</f>
        <v>5</v>
      </c>
      <c r="M35" s="7" t="n">
        <f aca="false">IF(P35="y","",C35)</f>
        <v>0.901785714285714</v>
      </c>
      <c r="N35" s="5" t="n">
        <f aca="false">MIN(5,N34+1)</f>
        <v>5</v>
      </c>
      <c r="O35" s="5" t="str">
        <f aca="false">IF(C35&gt;=G35,"Yes","No")</f>
        <v>No</v>
      </c>
      <c r="P35" s="57"/>
    </row>
    <row r="36" customFormat="false" ht="15" hidden="false" customHeight="true" outlineLevel="0" collapsed="false">
      <c r="A36" s="60" t="n">
        <f aca="false">'Raw-Data'!I8</f>
        <v>46217</v>
      </c>
      <c r="B36" s="61" t="n">
        <f aca="false">'Raw-Data'!J8</f>
        <v>140</v>
      </c>
      <c r="C36" s="62" t="n">
        <f aca="false">'Raw-Data'!K8</f>
        <v>0.957627118644067</v>
      </c>
      <c r="D36" s="62" t="n">
        <f aca="true">IF(NOT($K35),D35,AVERAGE(OFFSET($M35,-1*MAX($L35,N35),0):OFFSET($M35,0,0)))</f>
        <v>0.919942618136139</v>
      </c>
      <c r="E36" s="63" t="n">
        <f aca="true">IF(NOT($K35),E35,IFERROR(STDEV(OFFSET($M35,-1*MAX($L35,N35),0):OFFSET($M35,0,0)),E35))</f>
        <v>0.0317254190188178</v>
      </c>
      <c r="F36" s="62" t="n">
        <f aca="false">MAX(0,D36-3*SQRT(D36*(1-D36)/B36))</f>
        <v>0.851134719022702</v>
      </c>
      <c r="G36" s="64" t="n">
        <v>0.95</v>
      </c>
      <c r="H36" s="65" t="n">
        <f aca="false">(C36-D36)/E36</f>
        <v>1.18783302706187</v>
      </c>
      <c r="I36" s="65" t="n">
        <f aca="false">IF(P36="y",I35,IF(K35,0,MAX(0,I35+H36-0.5)))</f>
        <v>2.65396535431669</v>
      </c>
      <c r="J36" s="65" t="n">
        <f aca="false">IF(P36="y",J35,IF(K35,0,MAX(0,J35-H36+0.5)))</f>
        <v>0.384481048274848</v>
      </c>
      <c r="K36" s="61" t="n">
        <f aca="false" t="array" ref="K36:K36">IFERROR(OR(ABS(I36)&gt;=4, ABS(J36)&gt;=4),FALSE())</f>
        <v>0</v>
      </c>
      <c r="L36" s="61" t="n">
        <f aca="false">IF(K35,0,L35+1)</f>
        <v>6</v>
      </c>
      <c r="M36" s="62" t="n">
        <f aca="false">IF(P36="y","",C36)</f>
        <v>0.957627118644067</v>
      </c>
      <c r="N36" s="61" t="n">
        <f aca="false">MIN(5,N35+1)</f>
        <v>5</v>
      </c>
      <c r="O36" s="66" t="str">
        <f aca="false">IF(C36&gt;=G36,"Yes","No")</f>
        <v>Yes</v>
      </c>
      <c r="P36" s="57"/>
    </row>
    <row r="37" customFormat="false" ht="15" hidden="false" customHeight="true" outlineLevel="0" collapsed="false">
      <c r="A37" s="53" t="n">
        <f aca="false">'Raw-Data'!I7</f>
        <v>46218</v>
      </c>
      <c r="B37" s="5" t="n">
        <f aca="false">'Raw-Data'!J7</f>
        <v>115</v>
      </c>
      <c r="C37" s="7" t="n">
        <f aca="false">'Raw-Data'!K7</f>
        <v>0.9263</v>
      </c>
      <c r="D37" s="7" t="n">
        <f aca="true">IF(NOT($K36),D36,AVERAGE(OFFSET($M36,-1*MAX($L36,N36),0):OFFSET($M36,0,0)))</f>
        <v>0.919942618136139</v>
      </c>
      <c r="E37" s="54" t="n">
        <f aca="true">IF(NOT($K36),E36,IFERROR(STDEV(OFFSET($M36,-1*MAX($L36,N36),0):OFFSET($M36,0,0)),E36))</f>
        <v>0.0317254190188178</v>
      </c>
      <c r="F37" s="7" t="n">
        <f aca="false">MAX(0,D37-3*SQRT(D37*(1-D37)/B37))</f>
        <v>0.844023108284289</v>
      </c>
      <c r="G37" s="6" t="n">
        <v>0.95</v>
      </c>
      <c r="H37" s="55" t="n">
        <f aca="false">(C37-D37)/E37</f>
        <v>0.20038764058847</v>
      </c>
      <c r="I37" s="55" t="n">
        <f aca="false">IF(P37="y",I36,IF(K36,0,MAX(0,I36+H37-0.5)))</f>
        <v>2.35435299490517</v>
      </c>
      <c r="J37" s="55" t="n">
        <f aca="false">IF(P37="y",J36,IF(K36,0,MAX(0,J36-H37+0.5)))</f>
        <v>0.684093407686378</v>
      </c>
      <c r="K37" s="56" t="n">
        <f aca="false" t="array" ref="K37:K37">IFERROR(OR(ABS(I37)&gt;=4, ABS(J37)&gt;=4),FALSE())</f>
        <v>0</v>
      </c>
      <c r="L37" s="5" t="n">
        <f aca="false">IF(K36,0,L36+1)</f>
        <v>7</v>
      </c>
      <c r="M37" s="7" t="n">
        <f aca="false">IF(P37="y","",C37)</f>
        <v>0.9263</v>
      </c>
      <c r="N37" s="5" t="n">
        <f aca="false">MIN(5,N36+1)</f>
        <v>5</v>
      </c>
      <c r="O37" s="5" t="str">
        <f aca="false">IF(C37&gt;=G37,"Yes","No")</f>
        <v>No</v>
      </c>
      <c r="P37" s="57"/>
    </row>
    <row r="38" customFormat="false" ht="15" hidden="false" customHeight="true" outlineLevel="0" collapsed="false">
      <c r="A38" s="60" t="n">
        <f aca="false">'Raw-Data'!I6</f>
        <v>46219</v>
      </c>
      <c r="B38" s="61" t="n">
        <f aca="false">'Raw-Data'!J6</f>
        <v>136</v>
      </c>
      <c r="C38" s="62" t="n">
        <f aca="false">'Raw-Data'!K6</f>
        <v>0.9292</v>
      </c>
      <c r="D38" s="62" t="n">
        <f aca="true">IF(NOT($K37),D37,AVERAGE(OFFSET($M37,-1*MAX($L37,N37),0):OFFSET($M37,0,0)))</f>
        <v>0.919942618136139</v>
      </c>
      <c r="E38" s="63" t="n">
        <f aca="true">IF(NOT($K37),E37,IFERROR(STDEV(OFFSET($M37,-1*MAX($L37,N37),0):OFFSET($M37,0,0)),E37))</f>
        <v>0.0317254190188178</v>
      </c>
      <c r="F38" s="62" t="n">
        <f aca="false">MAX(0,D38-3*SQRT(D38*(1-D38)/B38))</f>
        <v>0.850130171008522</v>
      </c>
      <c r="G38" s="64" t="n">
        <v>0.95</v>
      </c>
      <c r="H38" s="65" t="n">
        <f aca="false">(C38-D38)/E38</f>
        <v>0.291796992763768</v>
      </c>
      <c r="I38" s="65" t="n">
        <f aca="false">IF(P38="y",I37,IF(K37,0,MAX(0,I37+H38-0.5)))</f>
        <v>2.14614998766893</v>
      </c>
      <c r="J38" s="65" t="n">
        <f aca="false">IF(P38="y",J37,IF(K37,0,MAX(0,J37-H38+0.5)))</f>
        <v>0.89229641492261</v>
      </c>
      <c r="K38" s="61" t="n">
        <f aca="false" t="array" ref="K38:K38">IFERROR(OR(ABS(I38)&gt;=4, ABS(J38)&gt;=4),FALSE())</f>
        <v>0</v>
      </c>
      <c r="L38" s="61" t="n">
        <f aca="false">IF(K37,0,L37+1)</f>
        <v>8</v>
      </c>
      <c r="M38" s="62" t="n">
        <f aca="false">IF(P38="y","",C38)</f>
        <v>0.9292</v>
      </c>
      <c r="N38" s="61" t="n">
        <f aca="false">MIN(5,N37+1)</f>
        <v>5</v>
      </c>
      <c r="O38" s="66" t="str">
        <f aca="false">IF(C38&gt;=G38,"Yes","No")</f>
        <v>No</v>
      </c>
      <c r="P38" s="57"/>
    </row>
    <row r="39" customFormat="false" ht="15" hidden="false" customHeight="true" outlineLevel="0" collapsed="false">
      <c r="A39" s="53" t="n">
        <f aca="false">'Raw-Data'!I5</f>
        <v>46220</v>
      </c>
      <c r="B39" s="5" t="n">
        <f aca="false">'Raw-Data'!J5</f>
        <v>119</v>
      </c>
      <c r="C39" s="7" t="n">
        <f aca="false">'Raw-Data'!K5</f>
        <v>0.9896</v>
      </c>
      <c r="D39" s="7" t="n">
        <f aca="true">IF(NOT($K38),D38,AVERAGE(OFFSET($M38,-1*MAX($L38,N38),0):OFFSET($M38,0,0)))</f>
        <v>0.919942618136139</v>
      </c>
      <c r="E39" s="54" t="n">
        <f aca="true">IF(NOT($K38),E38,IFERROR(STDEV(OFFSET($M38,-1*MAX($L38,N38),0):OFFSET($M38,0,0)),E38))</f>
        <v>0.0317254190188178</v>
      </c>
      <c r="F39" s="7" t="n">
        <f aca="false">MAX(0,D39-3*SQRT(D39*(1-D39)/B39))</f>
        <v>0.84530997285505</v>
      </c>
      <c r="G39" s="6" t="n">
        <v>0.95</v>
      </c>
      <c r="H39" s="55" t="n">
        <f aca="false">(C39-D39)/E39</f>
        <v>2.19563315531135</v>
      </c>
      <c r="I39" s="55" t="n">
        <f aca="false">IF(P39="y",I38,IF(K38,0,MAX(0,I38+H39-0.5)))</f>
        <v>3.84178314298028</v>
      </c>
      <c r="J39" s="55" t="n">
        <f aca="false">IF(P39="y",J38,IF(K38,0,MAX(0,J38-H39+0.5)))</f>
        <v>0</v>
      </c>
      <c r="K39" s="56" t="n">
        <f aca="false" t="array" ref="K39:K39">IFERROR(OR(ABS(I39)&gt;=4, ABS(J39)&gt;=4),FALSE())</f>
        <v>0</v>
      </c>
      <c r="L39" s="5" t="n">
        <f aca="false">IF(K38,0,L38+1)</f>
        <v>9</v>
      </c>
      <c r="M39" s="7" t="n">
        <f aca="false">IF(P39="y","",C39)</f>
        <v>0.9896</v>
      </c>
      <c r="N39" s="5" t="n">
        <f aca="false">MIN(5,N38+1)</f>
        <v>5</v>
      </c>
      <c r="O39" s="5" t="str">
        <f aca="false">IF(C39&gt;=G39,"Yes","No")</f>
        <v>Yes</v>
      </c>
      <c r="P39" s="57"/>
    </row>
    <row r="40" customFormat="false" ht="15" hidden="false" customHeight="true" outlineLevel="0" collapsed="false">
      <c r="A40" s="60" t="n">
        <f aca="false">'Raw-Data'!I4</f>
        <v>46221</v>
      </c>
      <c r="B40" s="61" t="n">
        <f aca="false">'Raw-Data'!J4</f>
        <v>143</v>
      </c>
      <c r="C40" s="62" t="n">
        <f aca="false">'Raw-Data'!K4</f>
        <v>0.928</v>
      </c>
      <c r="D40" s="62" t="n">
        <f aca="true">IF(NOT($K39),D39,AVERAGE(OFFSET($M39,-1*MAX($L39,N39),0):OFFSET($M39,0,0)))</f>
        <v>0.919942618136139</v>
      </c>
      <c r="E40" s="63" t="n">
        <f aca="true">IF(NOT($K39),E39,IFERROR(STDEV(OFFSET($M39,-1*MAX($L39,N39),0):OFFSET($M39,0,0)),E39))</f>
        <v>0.0317254190188178</v>
      </c>
      <c r="F40" s="62" t="n">
        <f aca="false">MAX(0,D40-3*SQRT(D40*(1-D40)/B40))</f>
        <v>0.851860305898985</v>
      </c>
      <c r="G40" s="64" t="n">
        <v>0.95</v>
      </c>
      <c r="H40" s="65" t="n">
        <f aca="false">(C40-D40)/E40</f>
        <v>0.253972433242956</v>
      </c>
      <c r="I40" s="65" t="n">
        <f aca="false">IF(P40="y",I39,IF(K39,0,MAX(0,I39+H40-0.5)))</f>
        <v>3.59575557622324</v>
      </c>
      <c r="J40" s="65" t="n">
        <f aca="false">IF(P40="y",J39,IF(K39,0,MAX(0,J39-H40+0.5)))</f>
        <v>0.246027566757044</v>
      </c>
      <c r="K40" s="61" t="n">
        <f aca="false" t="array" ref="K40:K40">IFERROR(OR(ABS(I40)&gt;=4, ABS(J40)&gt;=4),FALSE())</f>
        <v>0</v>
      </c>
      <c r="L40" s="61" t="n">
        <f aca="false">IF(K39,0,L39+1)</f>
        <v>10</v>
      </c>
      <c r="M40" s="62" t="n">
        <f aca="false">IF(P40="y","",C40)</f>
        <v>0.928</v>
      </c>
      <c r="N40" s="61" t="n">
        <f aca="false">MIN(5,N39+1)</f>
        <v>5</v>
      </c>
      <c r="O40" s="66" t="str">
        <f aca="false">IF(C40&gt;=G40,"Yes","No")</f>
        <v>No</v>
      </c>
      <c r="P40" s="57"/>
    </row>
    <row r="41" customFormat="false" ht="15" hidden="false" customHeight="true" outlineLevel="0" collapsed="false">
      <c r="A41" s="53" t="n">
        <f aca="false">'Raw-Data'!I3</f>
        <v>46222</v>
      </c>
      <c r="B41" s="5" t="n">
        <f aca="false">'Raw-Data'!J3</f>
        <v>136</v>
      </c>
      <c r="C41" s="7" t="n">
        <f aca="false">'Raw-Data'!K3</f>
        <v>0.9412</v>
      </c>
      <c r="D41" s="7" t="n">
        <f aca="true">IF(NOT($K40),D40,AVERAGE(OFFSET($M40,-1*MAX($L40,N40),0):OFFSET($M40,0,0)))</f>
        <v>0.919942618136139</v>
      </c>
      <c r="E41" s="54" t="n">
        <f aca="true">IF(NOT($K40),E40,IFERROR(STDEV(OFFSET($M40,-1*MAX($L40,N40),0):OFFSET($M40,0,0)),E40))</f>
        <v>0.0317254190188178</v>
      </c>
      <c r="F41" s="7" t="n">
        <f aca="false">MAX(0,D41-3*SQRT(D41*(1-D41)/B41))</f>
        <v>0.850130171008522</v>
      </c>
      <c r="G41" s="6" t="n">
        <v>0.95</v>
      </c>
      <c r="H41" s="55" t="n">
        <f aca="false">(C41-D41)/E41</f>
        <v>0.670042587971897</v>
      </c>
      <c r="I41" s="55" t="n">
        <f aca="false">IF(P41="y",I40,IF(K40,0,MAX(0,I40+H41-0.5)))</f>
        <v>3.76579816419513</v>
      </c>
      <c r="J41" s="55" t="n">
        <f aca="false">IF(P41="y",J40,IF(K40,0,MAX(0,J40-H41+0.5)))</f>
        <v>0.0759849787851472</v>
      </c>
      <c r="K41" s="56" t="n">
        <f aca="false" t="array" ref="K41:K41">IFERROR(OR(ABS(I41)&gt;=4, ABS(J41)&gt;=4),FALSE())</f>
        <v>0</v>
      </c>
      <c r="L41" s="5" t="n">
        <f aca="false">IF(K40,0,L40+1)</f>
        <v>11</v>
      </c>
      <c r="M41" s="7" t="n">
        <f aca="false">IF(P41="y","",C41)</f>
        <v>0.9412</v>
      </c>
      <c r="N41" s="5" t="n">
        <f aca="false">MIN(5,N40+1)</f>
        <v>5</v>
      </c>
      <c r="O41" s="5" t="str">
        <f aca="false">IF(C41&gt;=G41,"Yes","No")</f>
        <v>No</v>
      </c>
      <c r="P41" s="57"/>
    </row>
    <row r="44" customFormat="false" ht="15" hidden="false" customHeight="false" outlineLevel="0" collapsed="false">
      <c r="A44" s="70" t="s">
        <v>53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</row>
    <row r="46" customFormat="false" ht="15" hidden="false" customHeight="false" outlineLevel="0" collapsed="false">
      <c r="A46" s="71" t="s">
        <v>54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</row>
    <row r="47" customFormat="false" ht="15" hidden="false" customHeight="true" outlineLevel="0" collapsed="false">
      <c r="A47" s="72" t="s">
        <v>55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</row>
    <row r="50" customFormat="false" ht="15" hidden="false" customHeight="false" outlineLevel="0" collapsed="false">
      <c r="A50" s="71" t="s">
        <v>56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</row>
    <row r="51" customFormat="false" ht="15" hidden="false" customHeight="true" outlineLevel="0" collapsed="false">
      <c r="A51" s="72" t="s">
        <v>57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</row>
    <row r="52" customFormat="false" ht="15" hidden="false" customHeight="false" outlineLevel="0" collapsed="false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</row>
  </sheetData>
  <mergeCells count="8">
    <mergeCell ref="A1:O1"/>
    <mergeCell ref="A2:O2"/>
    <mergeCell ref="R4:S4"/>
    <mergeCell ref="A44:O44"/>
    <mergeCell ref="A46:O46"/>
    <mergeCell ref="A47:O47"/>
    <mergeCell ref="A50:O50"/>
    <mergeCell ref="A51:O52"/>
  </mergeCells>
  <conditionalFormatting sqref="K5:K41">
    <cfRule type="cellIs" priority="2" operator="equal" aboveAverage="0" equalAverage="0" bottom="0" percent="0" rank="0" text="" dxfId="0">
      <formula>1</formula>
    </cfRule>
  </conditionalFormatting>
  <conditionalFormatting sqref="O5:O41"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9" width="13"/>
    <col collapsed="false" customWidth="true" hidden="false" outlineLevel="0" max="2" min="2" style="49" width="14"/>
    <col collapsed="false" customWidth="true" hidden="false" outlineLevel="0" max="3" min="3" style="49" width="15"/>
    <col collapsed="false" customWidth="true" hidden="false" outlineLevel="0" max="4" min="4" style="49" width="12"/>
    <col collapsed="false" customWidth="true" hidden="false" outlineLevel="0" max="6" min="5" style="49" width="11"/>
    <col collapsed="false" customWidth="true" hidden="false" outlineLevel="0" max="8" min="7" style="49" width="10"/>
    <col collapsed="false" customWidth="true" hidden="false" outlineLevel="0" max="10" min="9" style="49" width="9"/>
    <col collapsed="false" customWidth="true" hidden="false" outlineLevel="0" max="11" min="11" style="49" width="14"/>
    <col collapsed="false" customWidth="true" hidden="false" outlineLevel="0" max="12" min="12" style="49" width="9"/>
    <col collapsed="false" customWidth="true" hidden="false" outlineLevel="0" max="13" min="13" style="49" width="15"/>
    <col collapsed="false" customWidth="true" hidden="false" outlineLevel="0" max="14" min="14" style="49" width="8"/>
    <col collapsed="false" customWidth="true" hidden="false" outlineLevel="0" max="15" min="15" style="49" width="13"/>
    <col collapsed="false" customWidth="true" hidden="false" outlineLevel="0" max="16" min="16" style="49" width="9"/>
    <col collapsed="false" customWidth="true" hidden="false" outlineLevel="0" max="18" min="18" style="49" width="30"/>
    <col collapsed="false" customWidth="true" hidden="false" outlineLevel="0" max="19" min="19" style="49" width="14"/>
  </cols>
  <sheetData>
    <row r="1" customFormat="false" ht="18" hidden="false" customHeight="true" outlineLevel="0" collapsed="false">
      <c r="A1" s="50" t="s">
        <v>58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customFormat="false" ht="15" hidden="false" customHeight="true" outlineLevel="0" collapsed="false">
      <c r="A2" s="51" t="s">
        <v>31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4" customFormat="false" ht="15" hidden="false" customHeight="true" outlineLevel="0" collapsed="false">
      <c r="A4" s="3" t="s">
        <v>20</v>
      </c>
      <c r="B4" s="3" t="s">
        <v>32</v>
      </c>
      <c r="C4" s="3" t="s">
        <v>11</v>
      </c>
      <c r="D4" s="3" t="s">
        <v>33</v>
      </c>
      <c r="E4" s="3" t="s">
        <v>34</v>
      </c>
      <c r="F4" s="3" t="s">
        <v>35</v>
      </c>
      <c r="G4" s="3" t="s">
        <v>4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R4" s="52" t="s">
        <v>45</v>
      </c>
      <c r="S4" s="52"/>
    </row>
    <row r="5" customFormat="false" ht="15" hidden="false" customHeight="true" outlineLevel="0" collapsed="false">
      <c r="A5" s="53" t="n">
        <f aca="false">'Raw-Data'!I39</f>
        <v>46186</v>
      </c>
      <c r="B5" s="5" t="n">
        <f aca="false">'Raw-Data'!J39</f>
        <v>125</v>
      </c>
      <c r="C5" s="7" t="n">
        <f aca="false">'Raw-Data'!L39</f>
        <v>0.8824</v>
      </c>
      <c r="D5" s="7" t="n">
        <v>0.85</v>
      </c>
      <c r="E5" s="54" t="n">
        <v>0.05</v>
      </c>
      <c r="F5" s="7" t="n">
        <f aca="false">MAX(0,D5-3*SQRT(D5*(1-D5)/B5))</f>
        <v>0.754187683463972</v>
      </c>
      <c r="G5" s="6" t="n">
        <v>0.9</v>
      </c>
      <c r="H5" s="55" t="n">
        <f aca="false">(C5-D5)/E5</f>
        <v>0.648</v>
      </c>
      <c r="I5" s="55" t="n">
        <v>0</v>
      </c>
      <c r="J5" s="55" t="n">
        <v>0</v>
      </c>
      <c r="K5" s="56" t="n">
        <f aca="false" t="array" ref="K5:K5">IFERROR(OR(ABS(I5)&gt;=4, ABS(J5)&gt;=4),FALSE())</f>
        <v>0</v>
      </c>
      <c r="L5" s="5" t="n">
        <v>0</v>
      </c>
      <c r="M5" s="7" t="n">
        <f aca="false">IF(P5="y","",C5)</f>
        <v>0.8824</v>
      </c>
      <c r="N5" s="5" t="n">
        <v>1</v>
      </c>
      <c r="O5" s="5" t="str">
        <f aca="false">IF(C5&gt;=G5,"Yes","No")</f>
        <v>No</v>
      </c>
      <c r="P5" s="57"/>
      <c r="R5" s="58" t="s">
        <v>4</v>
      </c>
      <c r="S5" s="59" t="n">
        <v>0.9</v>
      </c>
    </row>
    <row r="6" customFormat="false" ht="15" hidden="false" customHeight="true" outlineLevel="0" collapsed="false">
      <c r="A6" s="60" t="n">
        <f aca="false">'Raw-Data'!I38</f>
        <v>46187</v>
      </c>
      <c r="B6" s="61" t="n">
        <f aca="false">'Raw-Data'!J38</f>
        <v>112</v>
      </c>
      <c r="C6" s="62" t="n">
        <f aca="false">'Raw-Data'!L38</f>
        <v>0.9783</v>
      </c>
      <c r="D6" s="62" t="n">
        <f aca="true">IF(NOT($K5),D5,AVERAGE(OFFSET($M5,-1*MAX($L5,N5),0):OFFSET($M5,0,0)))</f>
        <v>0.85</v>
      </c>
      <c r="E6" s="63" t="n">
        <f aca="true">IF(NOT($K5),E5,IFERROR(STDEV(OFFSET($M5,-1*MAX($L5,N5),0):OFFSET($M5,0,0)),E5))</f>
        <v>0.05</v>
      </c>
      <c r="F6" s="62" t="n">
        <f aca="false">MAX(0,D6-3*SQRT(D6*(1-D6)/B6))</f>
        <v>0.748779766280226</v>
      </c>
      <c r="G6" s="64" t="n">
        <v>0.9</v>
      </c>
      <c r="H6" s="65" t="n">
        <f aca="false">(C6-D6)/E6</f>
        <v>2.566</v>
      </c>
      <c r="I6" s="65" t="n">
        <f aca="false">IF(P6="y",I5,IF(K5,0,MAX(0,I5+H6-0.5)))</f>
        <v>2.066</v>
      </c>
      <c r="J6" s="65" t="n">
        <f aca="false">IF(P6="y",J5,IF(K5,0,MAX(0,J5-H6+0.5)))</f>
        <v>0</v>
      </c>
      <c r="K6" s="61" t="n">
        <f aca="false" t="array" ref="K6:K6">IFERROR(OR(ABS(I6)&gt;=4, ABS(J6)&gt;=4),FALSE())</f>
        <v>0</v>
      </c>
      <c r="L6" s="61" t="n">
        <f aca="false">IF(K5,0,L5+1)</f>
        <v>1</v>
      </c>
      <c r="M6" s="62" t="n">
        <f aca="false">IF(P6="y","",C6)</f>
        <v>0.9783</v>
      </c>
      <c r="N6" s="61" t="n">
        <f aca="false">MIN(5,N5+1)</f>
        <v>2</v>
      </c>
      <c r="O6" s="66" t="str">
        <f aca="false">IF(C6&gt;=G6,"Yes","No")</f>
        <v>Yes</v>
      </c>
      <c r="P6" s="57"/>
      <c r="R6" s="58" t="s">
        <v>46</v>
      </c>
      <c r="S6" s="67" t="n">
        <v>37</v>
      </c>
    </row>
    <row r="7" customFormat="false" ht="15" hidden="false" customHeight="true" outlineLevel="0" collapsed="false">
      <c r="A7" s="53" t="n">
        <f aca="false">'Raw-Data'!I37</f>
        <v>46188</v>
      </c>
      <c r="B7" s="5" t="n">
        <f aca="false">'Raw-Data'!J37</f>
        <v>101</v>
      </c>
      <c r="C7" s="7" t="n">
        <f aca="false">'Raw-Data'!L37</f>
        <v>0.44</v>
      </c>
      <c r="D7" s="7" t="n">
        <f aca="true">IF(NOT($K6),D6,AVERAGE(OFFSET($M6,-1*MAX($L6,N6),0):OFFSET($M6,0,0)))</f>
        <v>0.85</v>
      </c>
      <c r="E7" s="54" t="n">
        <f aca="true">IF(NOT($K6),E6,IFERROR(STDEV(OFFSET($M6,-1*MAX($L6,N6),0):OFFSET($M6,0,0)),E6))</f>
        <v>0.05</v>
      </c>
      <c r="F7" s="7" t="n">
        <f aca="false">MAX(0,D7-3*SQRT(D7*(1-D7)/B7))</f>
        <v>0.743410196835655</v>
      </c>
      <c r="G7" s="6" t="n">
        <v>0.9</v>
      </c>
      <c r="H7" s="55" t="n">
        <f aca="false">(C7-D7)/E7</f>
        <v>-8.2</v>
      </c>
      <c r="I7" s="55" t="n">
        <f aca="false">IF(P7="y",I6,IF(K6,0,MAX(0,I6+H7-0.5)))</f>
        <v>0</v>
      </c>
      <c r="J7" s="55" t="n">
        <f aca="false">IF(P7="y",J6,IF(K6,0,MAX(0,J6-H7+0.5)))</f>
        <v>8.7</v>
      </c>
      <c r="K7" s="56" t="n">
        <f aca="false" t="array" ref="K7:K7">IFERROR(OR(ABS(I7)&gt;=4, ABS(J7)&gt;=4),FALSE())</f>
        <v>1</v>
      </c>
      <c r="L7" s="5" t="n">
        <f aca="false">IF(K6,0,L6+1)</f>
        <v>2</v>
      </c>
      <c r="M7" s="7" t="n">
        <f aca="false">IF(P7="y","",C7)</f>
        <v>0.44</v>
      </c>
      <c r="N7" s="5" t="n">
        <f aca="false">MIN(5,N6+1)</f>
        <v>3</v>
      </c>
      <c r="O7" s="5" t="str">
        <f aca="false">IF(C7&gt;=G7,"Yes","No")</f>
        <v>No</v>
      </c>
      <c r="P7" s="57"/>
      <c r="R7" s="58" t="s">
        <v>47</v>
      </c>
      <c r="S7" s="67" t="n">
        <f aca="false">COUNTIF(K5:K41,TRUE())</f>
        <v>5</v>
      </c>
    </row>
    <row r="8" customFormat="false" ht="15" hidden="false" customHeight="true" outlineLevel="0" collapsed="false">
      <c r="A8" s="60" t="n">
        <f aca="false">'Raw-Data'!I36</f>
        <v>46189</v>
      </c>
      <c r="B8" s="61" t="n">
        <f aca="false">'Raw-Data'!J36</f>
        <v>114</v>
      </c>
      <c r="C8" s="62" t="n">
        <f aca="false">'Raw-Data'!L36</f>
        <v>0.8852</v>
      </c>
      <c r="D8" s="62" t="n">
        <f aca="true">IF(NOT($K7),D7,AVERAGE(OFFSET($M7,-1*MAX($L7,N7),0):OFFSET($M7,0,0)))</f>
        <v>0.7669</v>
      </c>
      <c r="E8" s="63" t="n">
        <f aca="true">IF(NOT($K7),E7,IFERROR(STDEV(OFFSET($M7,-1*MAX($L7,N7),0):OFFSET($M7,0,0)),E7))</f>
        <v>0.287135699626501</v>
      </c>
      <c r="F8" s="62" t="n">
        <f aca="false">MAX(0,D8-3*SQRT(D8*(1-D8)/B8))</f>
        <v>0.648101943795806</v>
      </c>
      <c r="G8" s="64" t="n">
        <v>0.9</v>
      </c>
      <c r="H8" s="65" t="n">
        <f aca="false">(C8-D8)/E8</f>
        <v>0.412000319548847</v>
      </c>
      <c r="I8" s="65" t="n">
        <f aca="false">IF(P8="y",I7,IF(K7,0,MAX(0,I7+H8-0.5)))</f>
        <v>0</v>
      </c>
      <c r="J8" s="65" t="n">
        <f aca="false">IF(P8="y",J7,IF(K7,0,MAX(0,J7-H8+0.5)))</f>
        <v>0</v>
      </c>
      <c r="K8" s="61" t="n">
        <f aca="false" t="array" ref="K8:K8">IFERROR(OR(ABS(I8)&gt;=4, ABS(J8)&gt;=4),FALSE())</f>
        <v>0</v>
      </c>
      <c r="L8" s="61" t="n">
        <f aca="false">IF(K7,0,L7+1)</f>
        <v>0</v>
      </c>
      <c r="M8" s="62" t="n">
        <f aca="false">IF(P8="y","",C8)</f>
        <v>0.8852</v>
      </c>
      <c r="N8" s="61" t="n">
        <f aca="false">MIN(5,N7+1)</f>
        <v>4</v>
      </c>
      <c r="O8" s="66" t="str">
        <f aca="false">IF(C8&gt;=G8,"Yes","No")</f>
        <v>No</v>
      </c>
      <c r="P8" s="57"/>
      <c r="R8" s="58" t="s">
        <v>48</v>
      </c>
      <c r="S8" s="68" t="str">
        <f aca="false">COUNTIF(O5:O41,"Yes")&amp;"/"&amp;37</f>
        <v>11/37</v>
      </c>
    </row>
    <row r="9" customFormat="false" ht="15" hidden="false" customHeight="true" outlineLevel="0" collapsed="false">
      <c r="A9" s="53" t="n">
        <f aca="false">'Raw-Data'!I35</f>
        <v>46190</v>
      </c>
      <c r="B9" s="5" t="n">
        <f aca="false">'Raw-Data'!J35</f>
        <v>104</v>
      </c>
      <c r="C9" s="7" t="n">
        <f aca="false">'Raw-Data'!L35</f>
        <v>0.5584</v>
      </c>
      <c r="D9" s="7" t="n">
        <f aca="true">IF(NOT($K8),D8,AVERAGE(OFFSET($M8,-1*MAX($L8,N8),0):OFFSET($M8,0,0)))</f>
        <v>0.7669</v>
      </c>
      <c r="E9" s="54" t="n">
        <f aca="true">IF(NOT($K8),E8,IFERROR(STDEV(OFFSET($M8,-1*MAX($L8,N8),0):OFFSET($M8,0,0)),E8))</f>
        <v>0.287135699626501</v>
      </c>
      <c r="F9" s="7" t="n">
        <f aca="false">MAX(0,D9-3*SQRT(D9*(1-D9)/B9))</f>
        <v>0.642521564214445</v>
      </c>
      <c r="G9" s="6" t="n">
        <v>0.9</v>
      </c>
      <c r="H9" s="55" t="n">
        <f aca="false">(C9-D9)/E9</f>
        <v>-0.726137503177807</v>
      </c>
      <c r="I9" s="55" t="n">
        <f aca="false">IF(P9="y",I8,IF(K8,0,MAX(0,I8+H9-0.5)))</f>
        <v>0</v>
      </c>
      <c r="J9" s="55" t="n">
        <f aca="false">IF(P9="y",J8,IF(K8,0,MAX(0,J8-H9+0.5)))</f>
        <v>1.22613750317781</v>
      </c>
      <c r="K9" s="56" t="n">
        <f aca="false" t="array" ref="K9:K9">IFERROR(OR(ABS(I9)&gt;=4, ABS(J9)&gt;=4),FALSE())</f>
        <v>0</v>
      </c>
      <c r="L9" s="5" t="n">
        <f aca="false">IF(K8,0,L8+1)</f>
        <v>1</v>
      </c>
      <c r="M9" s="7" t="n">
        <f aca="false">IF(P9="y","",C9)</f>
        <v>0.5584</v>
      </c>
      <c r="N9" s="5" t="n">
        <f aca="false">MIN(5,N8+1)</f>
        <v>5</v>
      </c>
      <c r="O9" s="5" t="str">
        <f aca="false">IF(C9&gt;=G9,"Yes","No")</f>
        <v>No</v>
      </c>
      <c r="P9" s="57"/>
      <c r="R9" s="58" t="s">
        <v>49</v>
      </c>
      <c r="S9" s="69" t="n">
        <f aca="false">AVERAGE(C5:C41)</f>
        <v>0.773840540540541</v>
      </c>
    </row>
    <row r="10" customFormat="false" ht="15" hidden="false" customHeight="true" outlineLevel="0" collapsed="false">
      <c r="A10" s="60" t="n">
        <f aca="false">'Raw-Data'!I34</f>
        <v>46191</v>
      </c>
      <c r="B10" s="61" t="n">
        <f aca="false">'Raw-Data'!J34</f>
        <v>95</v>
      </c>
      <c r="C10" s="62" t="n">
        <f aca="false">'Raw-Data'!L34</f>
        <v>0.549</v>
      </c>
      <c r="D10" s="62" t="n">
        <f aca="true">IF(NOT($K9),D9,AVERAGE(OFFSET($M9,-1*MAX($L9,N9),0):OFFSET($M9,0,0)))</f>
        <v>0.7669</v>
      </c>
      <c r="E10" s="63" t="n">
        <f aca="true">IF(NOT($K9),E9,IFERROR(STDEV(OFFSET($M9,-1*MAX($L9,N9),0):OFFSET($M9,0,0)),E9))</f>
        <v>0.287135699626501</v>
      </c>
      <c r="F10" s="62" t="n">
        <f aca="false">MAX(0,D10-3*SQRT(D10*(1-D10)/B10))</f>
        <v>0.636763249658393</v>
      </c>
      <c r="G10" s="64" t="n">
        <v>0.9</v>
      </c>
      <c r="H10" s="65" t="n">
        <f aca="false">(C10-D10)/E10</f>
        <v>-0.758874637613641</v>
      </c>
      <c r="I10" s="65" t="n">
        <f aca="false">IF(P10="y",I9,IF(K9,0,MAX(0,I9+H10-0.5)))</f>
        <v>0</v>
      </c>
      <c r="J10" s="65" t="n">
        <f aca="false">IF(P10="y",J9,IF(K9,0,MAX(0,J9-H10+0.5)))</f>
        <v>2.48501214079145</v>
      </c>
      <c r="K10" s="61" t="n">
        <f aca="false" t="array" ref="K10:K10">IFERROR(OR(ABS(I10)&gt;=4, ABS(J10)&gt;=4),FALSE())</f>
        <v>0</v>
      </c>
      <c r="L10" s="61" t="n">
        <f aca="false">IF(K9,0,L9+1)</f>
        <v>2</v>
      </c>
      <c r="M10" s="62" t="n">
        <f aca="false">IF(P10="y","",C10)</f>
        <v>0.549</v>
      </c>
      <c r="N10" s="61" t="n">
        <f aca="false">MIN(5,N9+1)</f>
        <v>5</v>
      </c>
      <c r="O10" s="66" t="str">
        <f aca="false">IF(C10&gt;=G10,"Yes","No")</f>
        <v>No</v>
      </c>
      <c r="P10" s="57"/>
      <c r="R10" s="58" t="s">
        <v>50</v>
      </c>
      <c r="S10" s="69" t="n">
        <f aca="false">AVERAGE(C5:C41)-G5</f>
        <v>-0.12615945945946</v>
      </c>
    </row>
    <row r="11" customFormat="false" ht="15" hidden="false" customHeight="true" outlineLevel="0" collapsed="false">
      <c r="A11" s="53" t="n">
        <f aca="false">'Raw-Data'!I33</f>
        <v>46192</v>
      </c>
      <c r="B11" s="5" t="n">
        <f aca="false">'Raw-Data'!J33</f>
        <v>107</v>
      </c>
      <c r="C11" s="7" t="n">
        <f aca="false">'Raw-Data'!L33</f>
        <v>0.8316</v>
      </c>
      <c r="D11" s="7" t="n">
        <f aca="true">IF(NOT($K10),D10,AVERAGE(OFFSET($M10,-1*MAX($L10,N10),0):OFFSET($M10,0,0)))</f>
        <v>0.7669</v>
      </c>
      <c r="E11" s="54" t="n">
        <f aca="true">IF(NOT($K10),E10,IFERROR(STDEV(OFFSET($M10,-1*MAX($L10,N10),0):OFFSET($M10,0,0)),E10))</f>
        <v>0.287135699626501</v>
      </c>
      <c r="F11" s="7" t="n">
        <f aca="false">MAX(0,D11-3*SQRT(D11*(1-D11)/B11))</f>
        <v>0.644277583196205</v>
      </c>
      <c r="G11" s="6" t="n">
        <v>0.9</v>
      </c>
      <c r="H11" s="55" t="n">
        <f aca="false">(C11-D11)/E11</f>
        <v>0.22532899978707</v>
      </c>
      <c r="I11" s="55" t="n">
        <f aca="false">IF(P11="y",I10,IF(K10,0,MAX(0,I10+H11-0.5)))</f>
        <v>0</v>
      </c>
      <c r="J11" s="55" t="n">
        <f aca="false">IF(P11="y",J10,IF(K10,0,MAX(0,J10-H11+0.5)))</f>
        <v>2.75968314100438</v>
      </c>
      <c r="K11" s="56" t="n">
        <f aca="false" t="array" ref="K11:K11">IFERROR(OR(ABS(I11)&gt;=4, ABS(J11)&gt;=4),FALSE())</f>
        <v>0</v>
      </c>
      <c r="L11" s="5" t="n">
        <f aca="false">IF(K10,0,L10+1)</f>
        <v>3</v>
      </c>
      <c r="M11" s="7" t="n">
        <f aca="false">IF(P11="y","",C11)</f>
        <v>0.8316</v>
      </c>
      <c r="N11" s="5" t="n">
        <f aca="false">MIN(5,N10+1)</f>
        <v>5</v>
      </c>
      <c r="O11" s="5" t="str">
        <f aca="false">IF(C11&gt;=G11,"Yes","No")</f>
        <v>No</v>
      </c>
      <c r="P11" s="57"/>
      <c r="R11" s="58" t="s">
        <v>51</v>
      </c>
      <c r="S11" s="69" t="n">
        <f aca="false">D41</f>
        <v>0.76305</v>
      </c>
    </row>
    <row r="12" customFormat="false" ht="15" hidden="false" customHeight="true" outlineLevel="0" collapsed="false">
      <c r="A12" s="60" t="n">
        <f aca="false">'Raw-Data'!I32</f>
        <v>46193</v>
      </c>
      <c r="B12" s="61" t="n">
        <f aca="false">'Raw-Data'!J32</f>
        <v>130</v>
      </c>
      <c r="C12" s="62" t="n">
        <f aca="false">'Raw-Data'!L32</f>
        <v>0.7917</v>
      </c>
      <c r="D12" s="62" t="n">
        <f aca="true">IF(NOT($K11),D11,AVERAGE(OFFSET($M11,-1*MAX($L11,N11),0):OFFSET($M11,0,0)))</f>
        <v>0.7669</v>
      </c>
      <c r="E12" s="63" t="n">
        <f aca="true">IF(NOT($K11),E11,IFERROR(STDEV(OFFSET($M11,-1*MAX($L11,N11),0):OFFSET($M11,0,0)),E11))</f>
        <v>0.287135699626501</v>
      </c>
      <c r="F12" s="62" t="n">
        <f aca="false">MAX(0,D12-3*SQRT(D12*(1-D12)/B12))</f>
        <v>0.655652545059362</v>
      </c>
      <c r="G12" s="64" t="n">
        <v>0.9</v>
      </c>
      <c r="H12" s="65" t="n">
        <f aca="false">(C12-D12)/E12</f>
        <v>0.0863703121285831</v>
      </c>
      <c r="I12" s="65" t="n">
        <f aca="false">IF(P12="y",I11,IF(K11,0,MAX(0,I11+H12-0.5)))</f>
        <v>0</v>
      </c>
      <c r="J12" s="65" t="n">
        <f aca="false">IF(P12="y",J11,IF(K11,0,MAX(0,J11-H12+0.5)))</f>
        <v>3.1733128288758</v>
      </c>
      <c r="K12" s="61" t="n">
        <f aca="false" t="array" ref="K12:K12">IFERROR(OR(ABS(I12)&gt;=4, ABS(J12)&gt;=4),FALSE())</f>
        <v>0</v>
      </c>
      <c r="L12" s="61" t="n">
        <f aca="false">IF(K11,0,L11+1)</f>
        <v>4</v>
      </c>
      <c r="M12" s="62" t="n">
        <f aca="false">IF(P12="y","",C12)</f>
        <v>0.7917</v>
      </c>
      <c r="N12" s="61" t="n">
        <f aca="false">MIN(5,N11+1)</f>
        <v>5</v>
      </c>
      <c r="O12" s="66" t="str">
        <f aca="false">IF(C12&gt;=G12,"Yes","No")</f>
        <v>No</v>
      </c>
      <c r="P12" s="57"/>
      <c r="R12" s="58" t="s">
        <v>52</v>
      </c>
      <c r="S12" s="69" t="n">
        <f aca="false">F41</f>
        <v>0.653665281020046</v>
      </c>
    </row>
    <row r="13" customFormat="false" ht="15" hidden="false" customHeight="true" outlineLevel="0" collapsed="false">
      <c r="A13" s="53" t="n">
        <f aca="false">'Raw-Data'!I31</f>
        <v>46194</v>
      </c>
      <c r="B13" s="5" t="n">
        <f aca="false">'Raw-Data'!J31</f>
        <v>133</v>
      </c>
      <c r="C13" s="7" t="n">
        <f aca="false">'Raw-Data'!L31</f>
        <v>0.7126</v>
      </c>
      <c r="D13" s="7" t="n">
        <f aca="true">IF(NOT($K12),D12,AVERAGE(OFFSET($M12,-1*MAX($L12,N12),0):OFFSET($M12,0,0)))</f>
        <v>0.7669</v>
      </c>
      <c r="E13" s="54" t="n">
        <f aca="true">IF(NOT($K12),E12,IFERROR(STDEV(OFFSET($M12,-1*MAX($L12,N12),0):OFFSET($M12,0,0)),E12))</f>
        <v>0.287135699626501</v>
      </c>
      <c r="F13" s="7" t="n">
        <f aca="false">MAX(0,D13-3*SQRT(D13*(1-D13)/B13))</f>
        <v>0.656914371752248</v>
      </c>
      <c r="G13" s="6" t="n">
        <v>0.9</v>
      </c>
      <c r="H13" s="55" t="n">
        <f aca="false">(C13-D13)/E13</f>
        <v>-0.189109191475084</v>
      </c>
      <c r="I13" s="55" t="n">
        <f aca="false">IF(P13="y",I12,IF(K12,0,MAX(0,I12+H13-0.5)))</f>
        <v>0</v>
      </c>
      <c r="J13" s="55" t="n">
        <f aca="false">IF(P13="y",J12,IF(K12,0,MAX(0,J12-H13+0.5)))</f>
        <v>3.86242202035088</v>
      </c>
      <c r="K13" s="56" t="n">
        <f aca="false" t="array" ref="K13:K13">IFERROR(OR(ABS(I13)&gt;=4, ABS(J13)&gt;=4),FALSE())</f>
        <v>0</v>
      </c>
      <c r="L13" s="5" t="n">
        <f aca="false">IF(K12,0,L12+1)</f>
        <v>5</v>
      </c>
      <c r="M13" s="7" t="n">
        <f aca="false">IF(P13="y","",C13)</f>
        <v>0.7126</v>
      </c>
      <c r="N13" s="5" t="n">
        <f aca="false">MIN(5,N12+1)</f>
        <v>5</v>
      </c>
      <c r="O13" s="5" t="str">
        <f aca="false">IF(C13&gt;=G13,"Yes","No")</f>
        <v>No</v>
      </c>
      <c r="P13" s="57"/>
    </row>
    <row r="14" customFormat="false" ht="15" hidden="false" customHeight="true" outlineLevel="0" collapsed="false">
      <c r="A14" s="60" t="n">
        <f aca="false">'Raw-Data'!I30</f>
        <v>46195</v>
      </c>
      <c r="B14" s="61" t="n">
        <f aca="false">'Raw-Data'!J30</f>
        <v>100</v>
      </c>
      <c r="C14" s="62" t="n">
        <f aca="false">'Raw-Data'!L30</f>
        <v>0.8171</v>
      </c>
      <c r="D14" s="62" t="n">
        <f aca="true">IF(NOT($K13),D13,AVERAGE(OFFSET($M13,-1*MAX($L13,N13),0):OFFSET($M13,0,0)))</f>
        <v>0.7669</v>
      </c>
      <c r="E14" s="63" t="n">
        <f aca="true">IF(NOT($K13),E13,IFERROR(STDEV(OFFSET($M13,-1*MAX($L13,N13),0):OFFSET($M13,0,0)),E13))</f>
        <v>0.287135699626501</v>
      </c>
      <c r="F14" s="62" t="n">
        <f aca="false">MAX(0,D14-3*SQRT(D14*(1-D14)/B14))</f>
        <v>0.640058385771861</v>
      </c>
      <c r="G14" s="64" t="n">
        <v>0.9</v>
      </c>
      <c r="H14" s="65" t="n">
        <f aca="false">(C14-D14)/E14</f>
        <v>0.174830228582858</v>
      </c>
      <c r="I14" s="65" t="n">
        <f aca="false">IF(P14="y",I13,IF(K13,0,MAX(0,I13+H14-0.5)))</f>
        <v>0</v>
      </c>
      <c r="J14" s="65" t="n">
        <f aca="false">IF(P14="y",J13,IF(K13,0,MAX(0,J13-H14+0.5)))</f>
        <v>4.18759179176802</v>
      </c>
      <c r="K14" s="61" t="n">
        <f aca="false" t="array" ref="K14:K14">IFERROR(OR(ABS(I14)&gt;=4, ABS(J14)&gt;=4),FALSE())</f>
        <v>1</v>
      </c>
      <c r="L14" s="61" t="n">
        <f aca="false">IF(K13,0,L13+1)</f>
        <v>6</v>
      </c>
      <c r="M14" s="62" t="n">
        <f aca="false">IF(P14="y","",C14)</f>
        <v>0.8171</v>
      </c>
      <c r="N14" s="61" t="n">
        <f aca="false">MIN(5,N13+1)</f>
        <v>5</v>
      </c>
      <c r="O14" s="66" t="str">
        <f aca="false">IF(C14&gt;=G14,"Yes","No")</f>
        <v>No</v>
      </c>
      <c r="P14" s="57"/>
    </row>
    <row r="15" customFormat="false" ht="15" hidden="false" customHeight="true" outlineLevel="0" collapsed="false">
      <c r="A15" s="53" t="n">
        <f aca="false">'Raw-Data'!I29</f>
        <v>46196</v>
      </c>
      <c r="B15" s="5" t="n">
        <f aca="false">'Raw-Data'!J29</f>
        <v>126</v>
      </c>
      <c r="C15" s="7" t="n">
        <f aca="false">'Raw-Data'!L29</f>
        <v>0.3404</v>
      </c>
      <c r="D15" s="7" t="n">
        <f aca="true">IF(NOT($K14),D14,AVERAGE(OFFSET($M14,-1*MAX($L14,N14),0):OFFSET($M14,0,0)))</f>
        <v>0.735085714285714</v>
      </c>
      <c r="E15" s="54" t="n">
        <f aca="true">IF(NOT($K14),E14,IFERROR(STDEV(OFFSET($M14,-1*MAX($L14,N14),0):OFFSET($M14,0,0)),E14))</f>
        <v>0.134246147413019</v>
      </c>
      <c r="F15" s="7" t="n">
        <f aca="false">MAX(0,D15-3*SQRT(D15*(1-D15)/B15))</f>
        <v>0.617146654071558</v>
      </c>
      <c r="G15" s="6" t="n">
        <v>0.9</v>
      </c>
      <c r="H15" s="55" t="n">
        <f aca="false">(C15-D15)/E15</f>
        <v>-2.94001520260713</v>
      </c>
      <c r="I15" s="55" t="n">
        <f aca="false">IF(P15="y",I14,IF(K14,0,MAX(0,I14+H15-0.5)))</f>
        <v>0</v>
      </c>
      <c r="J15" s="55" t="n">
        <f aca="false">IF(P15="y",J14,IF(K14,0,MAX(0,J14-H15+0.5)))</f>
        <v>0</v>
      </c>
      <c r="K15" s="56" t="n">
        <f aca="false" t="array" ref="K15:K15">IFERROR(OR(ABS(I15)&gt;=4, ABS(J15)&gt;=4),FALSE())</f>
        <v>0</v>
      </c>
      <c r="L15" s="5" t="n">
        <f aca="false">IF(K14,0,L14+1)</f>
        <v>0</v>
      </c>
      <c r="M15" s="7" t="n">
        <f aca="false">IF(P15="y","",C15)</f>
        <v>0.3404</v>
      </c>
      <c r="N15" s="5" t="n">
        <f aca="false">MIN(5,N14+1)</f>
        <v>5</v>
      </c>
      <c r="O15" s="5" t="str">
        <f aca="false">IF(C15&gt;=G15,"Yes","No")</f>
        <v>No</v>
      </c>
      <c r="P15" s="57"/>
    </row>
    <row r="16" customFormat="false" ht="15" hidden="false" customHeight="true" outlineLevel="0" collapsed="false">
      <c r="A16" s="60" t="n">
        <f aca="false">'Raw-Data'!I28</f>
        <v>46197</v>
      </c>
      <c r="B16" s="61" t="n">
        <f aca="false">'Raw-Data'!J28</f>
        <v>105</v>
      </c>
      <c r="C16" s="62" t="n">
        <f aca="false">'Raw-Data'!L28</f>
        <v>0.4432</v>
      </c>
      <c r="D16" s="62" t="n">
        <f aca="true">IF(NOT($K15),D15,AVERAGE(OFFSET($M15,-1*MAX($L15,N15),0):OFFSET($M15,0,0)))</f>
        <v>0.735085714285714</v>
      </c>
      <c r="E16" s="63" t="n">
        <f aca="true">IF(NOT($K15),E15,IFERROR(STDEV(OFFSET($M15,-1*MAX($L15,N15),0):OFFSET($M15,0,0)),E15))</f>
        <v>0.134246147413019</v>
      </c>
      <c r="F16" s="62" t="n">
        <f aca="false">MAX(0,D16-3*SQRT(D16*(1-D16)/B16))</f>
        <v>0.605889946905208</v>
      </c>
      <c r="G16" s="64" t="n">
        <v>0.9</v>
      </c>
      <c r="H16" s="65" t="n">
        <f aca="false">(C16-D16)/E16</f>
        <v>-2.17425765960869</v>
      </c>
      <c r="I16" s="65" t="n">
        <f aca="false">IF(P16="y",I15,IF(K15,0,MAX(0,I15+H16-0.5)))</f>
        <v>0</v>
      </c>
      <c r="J16" s="65" t="n">
        <f aca="false">IF(P16="y",J15,IF(K15,0,MAX(0,J15-H16+0.5)))</f>
        <v>2.67425765960869</v>
      </c>
      <c r="K16" s="61" t="n">
        <f aca="false" t="array" ref="K16:K16">IFERROR(OR(ABS(I16)&gt;=4, ABS(J16)&gt;=4),FALSE())</f>
        <v>0</v>
      </c>
      <c r="L16" s="61" t="n">
        <f aca="false">IF(K15,0,L15+1)</f>
        <v>1</v>
      </c>
      <c r="M16" s="62" t="n">
        <f aca="false">IF(P16="y","",C16)</f>
        <v>0.4432</v>
      </c>
      <c r="N16" s="61" t="n">
        <f aca="false">MIN(5,N15+1)</f>
        <v>5</v>
      </c>
      <c r="O16" s="66" t="str">
        <f aca="false">IF(C16&gt;=G16,"Yes","No")</f>
        <v>No</v>
      </c>
      <c r="P16" s="57"/>
    </row>
    <row r="17" customFormat="false" ht="15" hidden="false" customHeight="true" outlineLevel="0" collapsed="false">
      <c r="A17" s="53" t="n">
        <f aca="false">'Raw-Data'!I27</f>
        <v>46198</v>
      </c>
      <c r="B17" s="5" t="n">
        <f aca="false">'Raw-Data'!J27</f>
        <v>106</v>
      </c>
      <c r="C17" s="7" t="n">
        <f aca="false">'Raw-Data'!L27</f>
        <v>0.6154</v>
      </c>
      <c r="D17" s="7" t="n">
        <f aca="true">IF(NOT($K16),D16,AVERAGE(OFFSET($M16,-1*MAX($L16,N16),0):OFFSET($M16,0,0)))</f>
        <v>0.735085714285714</v>
      </c>
      <c r="E17" s="54" t="n">
        <f aca="true">IF(NOT($K16),E16,IFERROR(STDEV(OFFSET($M16,-1*MAX($L16,N16),0):OFFSET($M16,0,0)),E16))</f>
        <v>0.134246147413019</v>
      </c>
      <c r="F17" s="7" t="n">
        <f aca="false">MAX(0,D17-3*SQRT(D17*(1-D17)/B17))</f>
        <v>0.606500805019393</v>
      </c>
      <c r="G17" s="6" t="n">
        <v>0.9</v>
      </c>
      <c r="H17" s="55" t="n">
        <f aca="false">(C17-D17)/E17</f>
        <v>-0.891539285052936</v>
      </c>
      <c r="I17" s="55" t="n">
        <f aca="false">IF(P17="y",I16,IF(K16,0,MAX(0,I16+H17-0.5)))</f>
        <v>0</v>
      </c>
      <c r="J17" s="55" t="n">
        <f aca="false">IF(P17="y",J16,IF(K16,0,MAX(0,J16-H17+0.5)))</f>
        <v>4.06579694466163</v>
      </c>
      <c r="K17" s="56" t="n">
        <f aca="false" t="array" ref="K17:K17">IFERROR(OR(ABS(I17)&gt;=4, ABS(J17)&gt;=4),FALSE())</f>
        <v>1</v>
      </c>
      <c r="L17" s="5" t="n">
        <f aca="false">IF(K16,0,L16+1)</f>
        <v>2</v>
      </c>
      <c r="M17" s="7" t="n">
        <f aca="false">IF(P17="y","",C17)</f>
        <v>0.6154</v>
      </c>
      <c r="N17" s="5" t="n">
        <f aca="false">MIN(5,N16+1)</f>
        <v>5</v>
      </c>
      <c r="O17" s="5" t="str">
        <f aca="false">IF(C17&gt;=G17,"Yes","No")</f>
        <v>No</v>
      </c>
      <c r="P17" s="57"/>
    </row>
    <row r="18" customFormat="false" ht="15" hidden="false" customHeight="true" outlineLevel="0" collapsed="false">
      <c r="A18" s="60" t="n">
        <f aca="false">'Raw-Data'!I26</f>
        <v>46199</v>
      </c>
      <c r="B18" s="61" t="n">
        <f aca="false">'Raw-Data'!J26</f>
        <v>128</v>
      </c>
      <c r="C18" s="62" t="n">
        <f aca="false">'Raw-Data'!L26</f>
        <v>0.525</v>
      </c>
      <c r="D18" s="62" t="n">
        <f aca="true">IF(NOT($K17),D17,AVERAGE(OFFSET($M17,-1*MAX($L17,N17),0):OFFSET($M17,0,0)))</f>
        <v>0.620066666666667</v>
      </c>
      <c r="E18" s="63" t="n">
        <f aca="true">IF(NOT($K17),E17,IFERROR(STDEV(OFFSET($M17,-1*MAX($L17,N17),0):OFFSET($M17,0,0)),E17))</f>
        <v>0.193059365653849</v>
      </c>
      <c r="F18" s="62" t="n">
        <f aca="false">MAX(0,D18-3*SQRT(D18*(1-D18)/B18))</f>
        <v>0.491363521066025</v>
      </c>
      <c r="G18" s="64" t="n">
        <v>0.9</v>
      </c>
      <c r="H18" s="65" t="n">
        <f aca="false">(C18-D18)/E18</f>
        <v>-0.492421936354638</v>
      </c>
      <c r="I18" s="65" t="n">
        <f aca="false">IF(P18="y",I17,IF(K17,0,MAX(0,I17+H18-0.5)))</f>
        <v>0</v>
      </c>
      <c r="J18" s="65" t="n">
        <f aca="false">IF(P18="y",J17,IF(K17,0,MAX(0,J17-H18+0.5)))</f>
        <v>0</v>
      </c>
      <c r="K18" s="61" t="n">
        <f aca="false" t="array" ref="K18:K18">IFERROR(OR(ABS(I18)&gt;=4, ABS(J18)&gt;=4),FALSE())</f>
        <v>0</v>
      </c>
      <c r="L18" s="61" t="n">
        <f aca="false">IF(K17,0,L17+1)</f>
        <v>0</v>
      </c>
      <c r="M18" s="62" t="n">
        <f aca="false">IF(P18="y","",C18)</f>
        <v>0.525</v>
      </c>
      <c r="N18" s="61" t="n">
        <f aca="false">MIN(5,N17+1)</f>
        <v>5</v>
      </c>
      <c r="O18" s="66" t="str">
        <f aca="false">IF(C18&gt;=G18,"Yes","No")</f>
        <v>No</v>
      </c>
      <c r="P18" s="57"/>
    </row>
    <row r="19" customFormat="false" ht="15" hidden="false" customHeight="true" outlineLevel="0" collapsed="false">
      <c r="A19" s="53" t="n">
        <f aca="false">'Raw-Data'!I25</f>
        <v>46200</v>
      </c>
      <c r="B19" s="5" t="n">
        <f aca="false">'Raw-Data'!J25</f>
        <v>122</v>
      </c>
      <c r="C19" s="7" t="n">
        <f aca="false">'Raw-Data'!L25</f>
        <v>0.8495</v>
      </c>
      <c r="D19" s="7" t="n">
        <f aca="true">IF(NOT($K18),D18,AVERAGE(OFFSET($M18,-1*MAX($L18,N18),0):OFFSET($M18,0,0)))</f>
        <v>0.620066666666667</v>
      </c>
      <c r="E19" s="54" t="n">
        <f aca="true">IF(NOT($K18),E18,IFERROR(STDEV(OFFSET($M18,-1*MAX($L18,N18),0):OFFSET($M18,0,0)),E18))</f>
        <v>0.193059365653849</v>
      </c>
      <c r="F19" s="7" t="n">
        <f aca="false">MAX(0,D19-3*SQRT(D19*(1-D19)/B19))</f>
        <v>0.488236673064623</v>
      </c>
      <c r="G19" s="6" t="n">
        <v>0.9</v>
      </c>
      <c r="H19" s="55" t="n">
        <f aca="false">(C19-D19)/E19</f>
        <v>1.18840820053611</v>
      </c>
      <c r="I19" s="55" t="n">
        <f aca="false">IF(P19="y",I18,IF(K18,0,MAX(0,I18+H19-0.5)))</f>
        <v>0.688408200536107</v>
      </c>
      <c r="J19" s="55" t="n">
        <f aca="false">IF(P19="y",J18,IF(K18,0,MAX(0,J18-H19+0.5)))</f>
        <v>0</v>
      </c>
      <c r="K19" s="56" t="n">
        <f aca="false" t="array" ref="K19:K19">IFERROR(OR(ABS(I19)&gt;=4, ABS(J19)&gt;=4),FALSE())</f>
        <v>0</v>
      </c>
      <c r="L19" s="5" t="n">
        <f aca="false">IF(K18,0,L18+1)</f>
        <v>1</v>
      </c>
      <c r="M19" s="7" t="n">
        <f aca="false">IF(P19="y","",C19)</f>
        <v>0.8495</v>
      </c>
      <c r="N19" s="5" t="n">
        <f aca="false">MIN(5,N18+1)</f>
        <v>5</v>
      </c>
      <c r="O19" s="5" t="str">
        <f aca="false">IF(C19&gt;=G19,"Yes","No")</f>
        <v>No</v>
      </c>
      <c r="P19" s="57"/>
    </row>
    <row r="20" customFormat="false" ht="15" hidden="false" customHeight="true" outlineLevel="0" collapsed="false">
      <c r="A20" s="60" t="n">
        <f aca="false">'Raw-Data'!I24</f>
        <v>46201</v>
      </c>
      <c r="B20" s="61" t="n">
        <f aca="false">'Raw-Data'!J24</f>
        <v>102</v>
      </c>
      <c r="C20" s="62" t="n">
        <f aca="false">'Raw-Data'!L24</f>
        <v>0.9655</v>
      </c>
      <c r="D20" s="62" t="n">
        <f aca="true">IF(NOT($K19),D19,AVERAGE(OFFSET($M19,-1*MAX($L19,N19),0):OFFSET($M19,0,0)))</f>
        <v>0.620066666666667</v>
      </c>
      <c r="E20" s="63" t="n">
        <f aca="true">IF(NOT($K19),E19,IFERROR(STDEV(OFFSET($M19,-1*MAX($L19,N19),0):OFFSET($M19,0,0)),E19))</f>
        <v>0.193059365653849</v>
      </c>
      <c r="F20" s="62" t="n">
        <f aca="false">MAX(0,D20-3*SQRT(D20*(1-D20)/B20))</f>
        <v>0.475890305437598</v>
      </c>
      <c r="G20" s="64" t="n">
        <v>0.9</v>
      </c>
      <c r="H20" s="65" t="n">
        <f aca="false">(C20-D20)/E20</f>
        <v>1.78925965162802</v>
      </c>
      <c r="I20" s="65" t="n">
        <f aca="false">IF(P20="y",I19,IF(K19,0,MAX(0,I19+H20-0.5)))</f>
        <v>1.97766785216413</v>
      </c>
      <c r="J20" s="65" t="n">
        <f aca="false">IF(P20="y",J19,IF(K19,0,MAX(0,J19-H20+0.5)))</f>
        <v>0</v>
      </c>
      <c r="K20" s="61" t="n">
        <f aca="false" t="array" ref="K20:K20">IFERROR(OR(ABS(I20)&gt;=4, ABS(J20)&gt;=4),FALSE())</f>
        <v>0</v>
      </c>
      <c r="L20" s="61" t="n">
        <f aca="false">IF(K19,0,L19+1)</f>
        <v>2</v>
      </c>
      <c r="M20" s="62" t="n">
        <f aca="false">IF(P20="y","",C20)</f>
        <v>0.9655</v>
      </c>
      <c r="N20" s="61" t="n">
        <f aca="false">MIN(5,N19+1)</f>
        <v>5</v>
      </c>
      <c r="O20" s="66" t="str">
        <f aca="false">IF(C20&gt;=G20,"Yes","No")</f>
        <v>Yes</v>
      </c>
      <c r="P20" s="57"/>
    </row>
    <row r="21" customFormat="false" ht="15" hidden="false" customHeight="true" outlineLevel="0" collapsed="false">
      <c r="A21" s="53" t="n">
        <f aca="false">'Raw-Data'!I23</f>
        <v>46202</v>
      </c>
      <c r="B21" s="5" t="n">
        <f aca="false">'Raw-Data'!J23</f>
        <v>107</v>
      </c>
      <c r="C21" s="7" t="n">
        <f aca="false">'Raw-Data'!L23</f>
        <v>0.8218</v>
      </c>
      <c r="D21" s="7" t="n">
        <f aca="true">IF(NOT($K20),D20,AVERAGE(OFFSET($M20,-1*MAX($L20,N20),0):OFFSET($M20,0,0)))</f>
        <v>0.620066666666667</v>
      </c>
      <c r="E21" s="54" t="n">
        <f aca="true">IF(NOT($K20),E20,IFERROR(STDEV(OFFSET($M20,-1*MAX($L20,N20),0):OFFSET($M20,0,0)),E20))</f>
        <v>0.193059365653849</v>
      </c>
      <c r="F21" s="7" t="n">
        <f aca="false">MAX(0,D21-3*SQRT(D21*(1-D21)/B21))</f>
        <v>0.479299212112419</v>
      </c>
      <c r="G21" s="6" t="n">
        <v>0.9</v>
      </c>
      <c r="H21" s="55" t="n">
        <f aca="false">(C21-D21)/E21</f>
        <v>1.04492901781847</v>
      </c>
      <c r="I21" s="55" t="n">
        <f aca="false">IF(P21="y",I20,IF(K20,0,MAX(0,I20+H21-0.5)))</f>
        <v>2.5225968699826</v>
      </c>
      <c r="J21" s="55" t="n">
        <f aca="false">IF(P21="y",J20,IF(K20,0,MAX(0,J20-H21+0.5)))</f>
        <v>0</v>
      </c>
      <c r="K21" s="56" t="n">
        <f aca="false" t="array" ref="K21:K21">IFERROR(OR(ABS(I21)&gt;=4, ABS(J21)&gt;=4),FALSE())</f>
        <v>0</v>
      </c>
      <c r="L21" s="5" t="n">
        <f aca="false">IF(K20,0,L20+1)</f>
        <v>3</v>
      </c>
      <c r="M21" s="7" t="n">
        <f aca="false">IF(P21="y","",C21)</f>
        <v>0.8218</v>
      </c>
      <c r="N21" s="5" t="n">
        <f aca="false">MIN(5,N20+1)</f>
        <v>5</v>
      </c>
      <c r="O21" s="5" t="str">
        <f aca="false">IF(C21&gt;=G21,"Yes","No")</f>
        <v>No</v>
      </c>
      <c r="P21" s="57"/>
    </row>
    <row r="22" customFormat="false" ht="15" hidden="false" customHeight="true" outlineLevel="0" collapsed="false">
      <c r="A22" s="60" t="n">
        <f aca="false">'Raw-Data'!I22</f>
        <v>46203</v>
      </c>
      <c r="B22" s="61" t="n">
        <f aca="false">'Raw-Data'!J22</f>
        <v>93</v>
      </c>
      <c r="C22" s="62" t="n">
        <f aca="false">'Raw-Data'!L22</f>
        <v>0.9306</v>
      </c>
      <c r="D22" s="62" t="n">
        <f aca="true">IF(NOT($K21),D21,AVERAGE(OFFSET($M21,-1*MAX($L21,N21),0):OFFSET($M21,0,0)))</f>
        <v>0.620066666666667</v>
      </c>
      <c r="E22" s="63" t="n">
        <f aca="true">IF(NOT($K21),E21,IFERROR(STDEV(OFFSET($M21,-1*MAX($L21,N21),0):OFFSET($M21,0,0)),E21))</f>
        <v>0.193059365653849</v>
      </c>
      <c r="F22" s="62" t="n">
        <f aca="false">MAX(0,D22-3*SQRT(D22*(1-D22)/B22))</f>
        <v>0.469075106694608</v>
      </c>
      <c r="G22" s="64" t="n">
        <v>0.9</v>
      </c>
      <c r="H22" s="65" t="n">
        <f aca="false">(C22-D22)/E22</f>
        <v>1.60848624091158</v>
      </c>
      <c r="I22" s="65" t="n">
        <f aca="false">IF(P22="y",I21,IF(K21,0,MAX(0,I21+H22-0.5)))</f>
        <v>3.63108311089417</v>
      </c>
      <c r="J22" s="65" t="n">
        <f aca="false">IF(P22="y",J21,IF(K21,0,MAX(0,J21-H22+0.5)))</f>
        <v>0</v>
      </c>
      <c r="K22" s="61" t="n">
        <f aca="false" t="array" ref="K22:K22">IFERROR(OR(ABS(I22)&gt;=4, ABS(J22)&gt;=4),FALSE())</f>
        <v>0</v>
      </c>
      <c r="L22" s="61" t="n">
        <f aca="false">IF(K21,0,L21+1)</f>
        <v>4</v>
      </c>
      <c r="M22" s="62" t="n">
        <f aca="false">IF(P22="y","",C22)</f>
        <v>0.9306</v>
      </c>
      <c r="N22" s="61" t="n">
        <f aca="false">MIN(5,N21+1)</f>
        <v>5</v>
      </c>
      <c r="O22" s="66" t="str">
        <f aca="false">IF(C22&gt;=G22,"Yes","No")</f>
        <v>Yes</v>
      </c>
      <c r="P22" s="57"/>
    </row>
    <row r="23" customFormat="false" ht="15" hidden="false" customHeight="true" outlineLevel="0" collapsed="false">
      <c r="A23" s="53" t="n">
        <f aca="false">'Raw-Data'!I21</f>
        <v>46204</v>
      </c>
      <c r="B23" s="5" t="n">
        <f aca="false">'Raw-Data'!J21</f>
        <v>118</v>
      </c>
      <c r="C23" s="7" t="n">
        <f aca="false">'Raw-Data'!L21</f>
        <v>0.7722</v>
      </c>
      <c r="D23" s="7" t="n">
        <f aca="true">IF(NOT($K22),D22,AVERAGE(OFFSET($M22,-1*MAX($L22,N22),0):OFFSET($M22,0,0)))</f>
        <v>0.620066666666667</v>
      </c>
      <c r="E23" s="54" t="n">
        <f aca="true">IF(NOT($K22),E22,IFERROR(STDEV(OFFSET($M22,-1*MAX($L22,N22),0):OFFSET($M22,0,0)),E22))</f>
        <v>0.193059365653849</v>
      </c>
      <c r="F23" s="7" t="n">
        <f aca="false">MAX(0,D23-3*SQRT(D23*(1-D23)/B23))</f>
        <v>0.486020887742235</v>
      </c>
      <c r="G23" s="6" t="n">
        <v>0.9</v>
      </c>
      <c r="H23" s="55" t="n">
        <f aca="false">(C23-D23)/E23</f>
        <v>0.788013224937788</v>
      </c>
      <c r="I23" s="55" t="n">
        <f aca="false">IF(P23="y",I22,IF(K22,0,MAX(0,I22+H23-0.5)))</f>
        <v>3.91909633583196</v>
      </c>
      <c r="J23" s="55" t="n">
        <f aca="false">IF(P23="y",J22,IF(K22,0,MAX(0,J22-H23+0.5)))</f>
        <v>0</v>
      </c>
      <c r="K23" s="56" t="n">
        <f aca="false" t="array" ref="K23:K23">IFERROR(OR(ABS(I23)&gt;=4, ABS(J23)&gt;=4),FALSE())</f>
        <v>0</v>
      </c>
      <c r="L23" s="5" t="n">
        <f aca="false">IF(K22,0,L22+1)</f>
        <v>5</v>
      </c>
      <c r="M23" s="7" t="n">
        <f aca="false">IF(P23="y","",C23)</f>
        <v>0.7722</v>
      </c>
      <c r="N23" s="5" t="n">
        <f aca="false">MIN(5,N22+1)</f>
        <v>5</v>
      </c>
      <c r="O23" s="5" t="str">
        <f aca="false">IF(C23&gt;=G23,"Yes","No")</f>
        <v>No</v>
      </c>
      <c r="P23" s="57"/>
    </row>
    <row r="24" customFormat="false" ht="15" hidden="false" customHeight="true" outlineLevel="0" collapsed="false">
      <c r="A24" s="60" t="n">
        <f aca="false">'Raw-Data'!I20</f>
        <v>46205</v>
      </c>
      <c r="B24" s="61" t="n">
        <f aca="false">'Raw-Data'!J20</f>
        <v>78</v>
      </c>
      <c r="C24" s="62" t="n">
        <f aca="false">'Raw-Data'!L20</f>
        <v>0.9278</v>
      </c>
      <c r="D24" s="62" t="n">
        <f aca="true">IF(NOT($K23),D23,AVERAGE(OFFSET($M23,-1*MAX($L23,N23),0):OFFSET($M23,0,0)))</f>
        <v>0.620066666666667</v>
      </c>
      <c r="E24" s="63" t="n">
        <f aca="true">IF(NOT($K23),E23,IFERROR(STDEV(OFFSET($M23,-1*MAX($L23,N23),0):OFFSET($M23,0,0)),E23))</f>
        <v>0.193059365653849</v>
      </c>
      <c r="F24" s="62" t="n">
        <f aca="false">MAX(0,D24-3*SQRT(D24*(1-D24)/B24))</f>
        <v>0.455194689915162</v>
      </c>
      <c r="G24" s="64" t="n">
        <v>0.9</v>
      </c>
      <c r="H24" s="65" t="n">
        <f aca="false">(C24-D24)/E24</f>
        <v>1.59398293002315</v>
      </c>
      <c r="I24" s="65" t="n">
        <f aca="false">IF(P24="y",I23,IF(K23,0,MAX(0,I23+H24-0.5)))</f>
        <v>5.01307926585511</v>
      </c>
      <c r="J24" s="65" t="n">
        <f aca="false">IF(P24="y",J23,IF(K23,0,MAX(0,J23-H24+0.5)))</f>
        <v>0</v>
      </c>
      <c r="K24" s="61" t="n">
        <f aca="false" t="array" ref="K24:K24">IFERROR(OR(ABS(I24)&gt;=4, ABS(J24)&gt;=4),FALSE())</f>
        <v>1</v>
      </c>
      <c r="L24" s="61" t="n">
        <f aca="false">IF(K23,0,L23+1)</f>
        <v>6</v>
      </c>
      <c r="M24" s="62" t="n">
        <f aca="false">IF(P24="y","",C24)</f>
        <v>0.9278</v>
      </c>
      <c r="N24" s="61" t="n">
        <f aca="false">MIN(5,N23+1)</f>
        <v>5</v>
      </c>
      <c r="O24" s="66" t="str">
        <f aca="false">IF(C24&gt;=G24,"Yes","No")</f>
        <v>Yes</v>
      </c>
      <c r="P24" s="57"/>
    </row>
    <row r="25" customFormat="false" ht="15" hidden="false" customHeight="true" outlineLevel="0" collapsed="false">
      <c r="A25" s="53" t="n">
        <f aca="false">'Raw-Data'!I19</f>
        <v>46206</v>
      </c>
      <c r="B25" s="5" t="n">
        <f aca="false">'Raw-Data'!J19</f>
        <v>124</v>
      </c>
      <c r="C25" s="7" t="n">
        <f aca="false">'Raw-Data'!L19</f>
        <v>0.7982</v>
      </c>
      <c r="D25" s="7" t="n">
        <f aca="true">IF(NOT($K24),D24,AVERAGE(OFFSET($M24,-1*MAX($L24,N24),0):OFFSET($M24,0,0)))</f>
        <v>0.827485714285714</v>
      </c>
      <c r="E25" s="54" t="n">
        <f aca="true">IF(NOT($K24),E24,IFERROR(STDEV(OFFSET($M24,-1*MAX($L24,N24),0):OFFSET($M24,0,0)),E24))</f>
        <v>0.149896924902541</v>
      </c>
      <c r="F25" s="7" t="n">
        <f aca="false">MAX(0,D25-3*SQRT(D25*(1-D25)/B25))</f>
        <v>0.725696163739526</v>
      </c>
      <c r="G25" s="6" t="n">
        <v>0.9</v>
      </c>
      <c r="H25" s="55" t="n">
        <f aca="false">(C25-D25)/E25</f>
        <v>-0.195372348730669</v>
      </c>
      <c r="I25" s="55" t="n">
        <f aca="false">IF(P25="y",I24,IF(K24,0,MAX(0,I24+H25-0.5)))</f>
        <v>0</v>
      </c>
      <c r="J25" s="55" t="n">
        <f aca="false">IF(P25="y",J24,IF(K24,0,MAX(0,J24-H25+0.5)))</f>
        <v>0</v>
      </c>
      <c r="K25" s="56" t="n">
        <f aca="false" t="array" ref="K25:K25">IFERROR(OR(ABS(I25)&gt;=4, ABS(J25)&gt;=4),FALSE())</f>
        <v>0</v>
      </c>
      <c r="L25" s="5" t="n">
        <f aca="false">IF(K24,0,L24+1)</f>
        <v>0</v>
      </c>
      <c r="M25" s="7" t="n">
        <f aca="false">IF(P25="y","",C25)</f>
        <v>0.7982</v>
      </c>
      <c r="N25" s="5" t="n">
        <f aca="false">MIN(5,N24+1)</f>
        <v>5</v>
      </c>
      <c r="O25" s="5" t="str">
        <f aca="false">IF(C25&gt;=G25,"Yes","No")</f>
        <v>No</v>
      </c>
      <c r="P25" s="57"/>
    </row>
    <row r="26" customFormat="false" ht="15" hidden="false" customHeight="true" outlineLevel="0" collapsed="false">
      <c r="A26" s="60" t="n">
        <f aca="false">'Raw-Data'!I18</f>
        <v>46207</v>
      </c>
      <c r="B26" s="61" t="n">
        <f aca="false">'Raw-Data'!J18</f>
        <v>129</v>
      </c>
      <c r="C26" s="62" t="n">
        <f aca="false">'Raw-Data'!L18</f>
        <v>0.5658</v>
      </c>
      <c r="D26" s="62" t="n">
        <f aca="true">IF(NOT($K25),D25,AVERAGE(OFFSET($M25,-1*MAX($L25,N25),0):OFFSET($M25,0,0)))</f>
        <v>0.827485714285714</v>
      </c>
      <c r="E26" s="63" t="n">
        <f aca="true">IF(NOT($K25),E25,IFERROR(STDEV(OFFSET($M25,-1*MAX($L25,N25),0):OFFSET($M25,0,0)),E25))</f>
        <v>0.149896924902541</v>
      </c>
      <c r="F26" s="62" t="n">
        <f aca="false">MAX(0,D26-3*SQRT(D26*(1-D26)/B26))</f>
        <v>0.727688324095631</v>
      </c>
      <c r="G26" s="64" t="n">
        <v>0.9</v>
      </c>
      <c r="H26" s="65" t="n">
        <f aca="false">(C26-D26)/E26</f>
        <v>-1.74577106538947</v>
      </c>
      <c r="I26" s="65" t="n">
        <f aca="false">IF(P26="y",I25,IF(K25,0,MAX(0,I25+H26-0.5)))</f>
        <v>0</v>
      </c>
      <c r="J26" s="65" t="n">
        <f aca="false">IF(P26="y",J25,IF(K25,0,MAX(0,J25-H26+0.5)))</f>
        <v>2.24577106538947</v>
      </c>
      <c r="K26" s="61" t="n">
        <f aca="false" t="array" ref="K26:K26">IFERROR(OR(ABS(I26)&gt;=4, ABS(J26)&gt;=4),FALSE())</f>
        <v>0</v>
      </c>
      <c r="L26" s="61" t="n">
        <f aca="false">IF(K25,0,L25+1)</f>
        <v>1</v>
      </c>
      <c r="M26" s="62" t="n">
        <f aca="false">IF(P26="y","",C26)</f>
        <v>0.5658</v>
      </c>
      <c r="N26" s="61" t="n">
        <f aca="false">MIN(5,N25+1)</f>
        <v>5</v>
      </c>
      <c r="O26" s="66" t="str">
        <f aca="false">IF(C26&gt;=G26,"Yes","No")</f>
        <v>No</v>
      </c>
      <c r="P26" s="57"/>
    </row>
    <row r="27" customFormat="false" ht="15" hidden="false" customHeight="true" outlineLevel="0" collapsed="false">
      <c r="A27" s="53" t="n">
        <f aca="false">'Raw-Data'!I17</f>
        <v>46208</v>
      </c>
      <c r="B27" s="5" t="n">
        <f aca="false">'Raw-Data'!J17</f>
        <v>140</v>
      </c>
      <c r="C27" s="7" t="n">
        <f aca="false">'Raw-Data'!L17</f>
        <v>0.5837</v>
      </c>
      <c r="D27" s="7" t="n">
        <f aca="true">IF(NOT($K26),D26,AVERAGE(OFFSET($M26,-1*MAX($L26,N26),0):OFFSET($M26,0,0)))</f>
        <v>0.827485714285714</v>
      </c>
      <c r="E27" s="54" t="n">
        <f aca="true">IF(NOT($K26),E26,IFERROR(STDEV(OFFSET($M26,-1*MAX($L26,N26),0):OFFSET($M26,0,0)),E26))</f>
        <v>0.149896924902541</v>
      </c>
      <c r="F27" s="7" t="n">
        <f aca="false">MAX(0,D27-3*SQRT(D27*(1-D27)/B27))</f>
        <v>0.731689130598904</v>
      </c>
      <c r="G27" s="6" t="n">
        <v>0.9</v>
      </c>
      <c r="H27" s="55" t="n">
        <f aca="false">(C27-D27)/E27</f>
        <v>-1.62635567370189</v>
      </c>
      <c r="I27" s="55" t="n">
        <f aca="false">IF(P27="y",I26,IF(K26,0,MAX(0,I26+H27-0.5)))</f>
        <v>0</v>
      </c>
      <c r="J27" s="55" t="n">
        <f aca="false">IF(P27="y",J26,IF(K26,0,MAX(0,J26-H27+0.5)))</f>
        <v>4.37212673909136</v>
      </c>
      <c r="K27" s="56" t="n">
        <f aca="false" t="array" ref="K27:K27">IFERROR(OR(ABS(I27)&gt;=4, ABS(J27)&gt;=4),FALSE())</f>
        <v>1</v>
      </c>
      <c r="L27" s="5" t="n">
        <f aca="false">IF(K26,0,L26+1)</f>
        <v>2</v>
      </c>
      <c r="M27" s="7" t="n">
        <f aca="false">IF(P27="y","",C27)</f>
        <v>0.5837</v>
      </c>
      <c r="N27" s="5" t="n">
        <f aca="false">MIN(5,N26+1)</f>
        <v>5</v>
      </c>
      <c r="O27" s="5" t="str">
        <f aca="false">IF(C27&gt;=G27,"Yes","No")</f>
        <v>No</v>
      </c>
      <c r="P27" s="57"/>
    </row>
    <row r="28" customFormat="false" ht="15" hidden="false" customHeight="true" outlineLevel="0" collapsed="false">
      <c r="A28" s="60" t="n">
        <f aca="false">'Raw-Data'!I16</f>
        <v>46209</v>
      </c>
      <c r="B28" s="61" t="n">
        <f aca="false">'Raw-Data'!J16</f>
        <v>94</v>
      </c>
      <c r="C28" s="62" t="n">
        <f aca="false">'Raw-Data'!L16</f>
        <v>0.9799</v>
      </c>
      <c r="D28" s="62" t="n">
        <f aca="true">IF(NOT($K27),D27,AVERAGE(OFFSET($M27,-1*MAX($L27,N27),0):OFFSET($M27,0,0)))</f>
        <v>0.76305</v>
      </c>
      <c r="E28" s="63" t="n">
        <f aca="true">IF(NOT($K27),E27,IFERROR(STDEV(OFFSET($M27,-1*MAX($L27,N27),0):OFFSET($M27,0,0)),E27))</f>
        <v>0.159755309770912</v>
      </c>
      <c r="F28" s="62" t="n">
        <f aca="false">MAX(0,D28-3*SQRT(D28*(1-D28)/B28))</f>
        <v>0.631478391898135</v>
      </c>
      <c r="G28" s="64" t="n">
        <v>0.9</v>
      </c>
      <c r="H28" s="65" t="n">
        <f aca="false">(C28-D28)/E28</f>
        <v>1.35738837294962</v>
      </c>
      <c r="I28" s="65" t="n">
        <f aca="false">IF(P28="y",I27,IF(K27,0,MAX(0,I27+H28-0.5)))</f>
        <v>0</v>
      </c>
      <c r="J28" s="65" t="n">
        <f aca="false">IF(P28="y",J27,IF(K27,0,MAX(0,J27-H28+0.5)))</f>
        <v>0</v>
      </c>
      <c r="K28" s="61" t="n">
        <f aca="false" t="array" ref="K28:K28">IFERROR(OR(ABS(I28)&gt;=4, ABS(J28)&gt;=4),FALSE())</f>
        <v>0</v>
      </c>
      <c r="L28" s="61" t="n">
        <f aca="false">IF(K27,0,L27+1)</f>
        <v>0</v>
      </c>
      <c r="M28" s="62" t="n">
        <f aca="false">IF(P28="y","",C28)</f>
        <v>0.9799</v>
      </c>
      <c r="N28" s="61" t="n">
        <f aca="false">MIN(5,N27+1)</f>
        <v>5</v>
      </c>
      <c r="O28" s="66" t="str">
        <f aca="false">IF(C28&gt;=G28,"Yes","No")</f>
        <v>Yes</v>
      </c>
      <c r="P28" s="57"/>
    </row>
    <row r="29" customFormat="false" ht="15" hidden="false" customHeight="true" outlineLevel="0" collapsed="false">
      <c r="A29" s="53" t="n">
        <f aca="false">'Raw-Data'!I15</f>
        <v>46210</v>
      </c>
      <c r="B29" s="5" t="n">
        <f aca="false">'Raw-Data'!J15</f>
        <v>115</v>
      </c>
      <c r="C29" s="7" t="n">
        <f aca="false">'Raw-Data'!L15</f>
        <v>0.8811</v>
      </c>
      <c r="D29" s="7" t="n">
        <f aca="true">IF(NOT($K28),D28,AVERAGE(OFFSET($M28,-1*MAX($L28,N28),0):OFFSET($M28,0,0)))</f>
        <v>0.76305</v>
      </c>
      <c r="E29" s="54" t="n">
        <f aca="true">IF(NOT($K28),E28,IFERROR(STDEV(OFFSET($M28,-1*MAX($L28,N28),0):OFFSET($M28,0,0)),E28))</f>
        <v>0.159755309770912</v>
      </c>
      <c r="F29" s="7" t="n">
        <f aca="false">MAX(0,D29-3*SQRT(D29*(1-D29)/B29))</f>
        <v>0.644096509728272</v>
      </c>
      <c r="G29" s="6" t="n">
        <v>0.9</v>
      </c>
      <c r="H29" s="55" t="n">
        <f aca="false">(C29-D29)/E29</f>
        <v>0.738942575175017</v>
      </c>
      <c r="I29" s="55" t="n">
        <f aca="false">IF(P29="y",I28,IF(K28,0,MAX(0,I28+H29-0.5)))</f>
        <v>0.238942575175017</v>
      </c>
      <c r="J29" s="55" t="n">
        <f aca="false">IF(P29="y",J28,IF(K28,0,MAX(0,J28-H29+0.5)))</f>
        <v>0</v>
      </c>
      <c r="K29" s="56" t="n">
        <f aca="false" t="array" ref="K29:K29">IFERROR(OR(ABS(I29)&gt;=4, ABS(J29)&gt;=4),FALSE())</f>
        <v>0</v>
      </c>
      <c r="L29" s="5" t="n">
        <f aca="false">IF(K28,0,L28+1)</f>
        <v>1</v>
      </c>
      <c r="M29" s="7" t="n">
        <f aca="false">IF(P29="y","",C29)</f>
        <v>0.8811</v>
      </c>
      <c r="N29" s="5" t="n">
        <f aca="false">MIN(5,N28+1)</f>
        <v>5</v>
      </c>
      <c r="O29" s="5" t="str">
        <f aca="false">IF(C29&gt;=G29,"Yes","No")</f>
        <v>No</v>
      </c>
      <c r="P29" s="57"/>
    </row>
    <row r="30" customFormat="false" ht="15" hidden="false" customHeight="true" outlineLevel="0" collapsed="false">
      <c r="A30" s="60" t="n">
        <f aca="false">'Raw-Data'!I14</f>
        <v>46211</v>
      </c>
      <c r="B30" s="61" t="n">
        <f aca="false">'Raw-Data'!J14</f>
        <v>108</v>
      </c>
      <c r="C30" s="62" t="n">
        <f aca="false">'Raw-Data'!L14</f>
        <v>0.8316</v>
      </c>
      <c r="D30" s="62" t="n">
        <f aca="true">IF(NOT($K29),D29,AVERAGE(OFFSET($M29,-1*MAX($L29,N29),0):OFFSET($M29,0,0)))</f>
        <v>0.76305</v>
      </c>
      <c r="E30" s="63" t="n">
        <f aca="true">IF(NOT($K29),E29,IFERROR(STDEV(OFFSET($M29,-1*MAX($L29,N29),0):OFFSET($M29,0,0)),E29))</f>
        <v>0.159755309770912</v>
      </c>
      <c r="F30" s="62" t="n">
        <f aca="false">MAX(0,D30-3*SQRT(D30*(1-D30)/B30))</f>
        <v>0.640302054497845</v>
      </c>
      <c r="G30" s="64" t="n">
        <v>0.9</v>
      </c>
      <c r="H30" s="65" t="n">
        <f aca="false">(C30-D30)/E30</f>
        <v>0.42909371900252</v>
      </c>
      <c r="I30" s="65" t="n">
        <f aca="false">IF(P30="y",I29,IF(K29,0,MAX(0,I29+H30-0.5)))</f>
        <v>0.168036294177536</v>
      </c>
      <c r="J30" s="65" t="n">
        <f aca="false">IF(P30="y",J29,IF(K29,0,MAX(0,J29-H30+0.5)))</f>
        <v>0.0709062809974805</v>
      </c>
      <c r="K30" s="61" t="n">
        <f aca="false" t="array" ref="K30:K30">IFERROR(OR(ABS(I30)&gt;=4, ABS(J30)&gt;=4),FALSE())</f>
        <v>0</v>
      </c>
      <c r="L30" s="61" t="n">
        <f aca="false">IF(K29,0,L29+1)</f>
        <v>2</v>
      </c>
      <c r="M30" s="62" t="n">
        <f aca="false">IF(P30="y","",C30)</f>
        <v>0.8316</v>
      </c>
      <c r="N30" s="61" t="n">
        <f aca="false">MIN(5,N29+1)</f>
        <v>5</v>
      </c>
      <c r="O30" s="66" t="str">
        <f aca="false">IF(C30&gt;=G30,"Yes","No")</f>
        <v>No</v>
      </c>
      <c r="P30" s="57"/>
    </row>
    <row r="31" customFormat="false" ht="15" hidden="false" customHeight="true" outlineLevel="0" collapsed="false">
      <c r="A31" s="53" t="n">
        <f aca="false">'Raw-Data'!I13</f>
        <v>46212</v>
      </c>
      <c r="B31" s="5" t="n">
        <f aca="false">'Raw-Data'!J13</f>
        <v>105</v>
      </c>
      <c r="C31" s="7" t="n">
        <f aca="false">'Raw-Data'!L13</f>
        <v>0.9447</v>
      </c>
      <c r="D31" s="7" t="n">
        <f aca="true">IF(NOT($K30),D30,AVERAGE(OFFSET($M30,-1*MAX($L30,N30),0):OFFSET($M30,0,0)))</f>
        <v>0.76305</v>
      </c>
      <c r="E31" s="54" t="n">
        <f aca="true">IF(NOT($K30),E30,IFERROR(STDEV(OFFSET($M30,-1*MAX($L30,N30),0):OFFSET($M30,0,0)),E30))</f>
        <v>0.159755309770912</v>
      </c>
      <c r="F31" s="7" t="n">
        <f aca="false">MAX(0,D31-3*SQRT(D31*(1-D31)/B31))</f>
        <v>0.638560861919604</v>
      </c>
      <c r="G31" s="6" t="n">
        <v>0.9</v>
      </c>
      <c r="H31" s="55" t="n">
        <f aca="false">(C31-D31)/E31</f>
        <v>1.13705140856029</v>
      </c>
      <c r="I31" s="55" t="n">
        <f aca="false">IF(P31="y",I30,IF(K30,0,MAX(0,I30+H31-0.5)))</f>
        <v>0.805087702737822</v>
      </c>
      <c r="J31" s="55" t="n">
        <f aca="false">IF(P31="y",J30,IF(K30,0,MAX(0,J30-H31+0.5)))</f>
        <v>0</v>
      </c>
      <c r="K31" s="56" t="n">
        <f aca="false" t="array" ref="K31:K31">IFERROR(OR(ABS(I31)&gt;=4, ABS(J31)&gt;=4),FALSE())</f>
        <v>0</v>
      </c>
      <c r="L31" s="5" t="n">
        <f aca="false">IF(K30,0,L30+1)</f>
        <v>3</v>
      </c>
      <c r="M31" s="7" t="n">
        <f aca="false">IF(P31="y","",C31)</f>
        <v>0.9447</v>
      </c>
      <c r="N31" s="5" t="n">
        <f aca="false">MIN(5,N30+1)</f>
        <v>5</v>
      </c>
      <c r="O31" s="5" t="str">
        <f aca="false">IF(C31&gt;=G31,"Yes","No")</f>
        <v>Yes</v>
      </c>
      <c r="P31" s="57"/>
    </row>
    <row r="32" customFormat="false" ht="15" hidden="false" customHeight="true" outlineLevel="0" collapsed="false">
      <c r="A32" s="60" t="n">
        <f aca="false">'Raw-Data'!I12</f>
        <v>46213</v>
      </c>
      <c r="B32" s="61" t="n">
        <f aca="false">'Raw-Data'!J12</f>
        <v>137</v>
      </c>
      <c r="C32" s="62" t="n">
        <f aca="false">'Raw-Data'!L12</f>
        <v>0.9924</v>
      </c>
      <c r="D32" s="62" t="n">
        <f aca="true">IF(NOT($K31),D31,AVERAGE(OFFSET($M31,-1*MAX($L31,N31),0):OFFSET($M31,0,0)))</f>
        <v>0.76305</v>
      </c>
      <c r="E32" s="63" t="n">
        <f aca="true">IF(NOT($K31),E31,IFERROR(STDEV(OFFSET($M31,-1*MAX($L31,N31),0):OFFSET($M31,0,0)),E31))</f>
        <v>0.159755309770912</v>
      </c>
      <c r="F32" s="62" t="n">
        <f aca="false">MAX(0,D32-3*SQRT(D32*(1-D32)/B32))</f>
        <v>0.654065226487072</v>
      </c>
      <c r="G32" s="64" t="n">
        <v>0.9</v>
      </c>
      <c r="H32" s="65" t="n">
        <f aca="false">(C32-D32)/E32</f>
        <v>1.43563303359924</v>
      </c>
      <c r="I32" s="65" t="n">
        <f aca="false">IF(P32="y",I31,IF(K31,0,MAX(0,I31+H32-0.5)))</f>
        <v>1.74072073633706</v>
      </c>
      <c r="J32" s="65" t="n">
        <f aca="false">IF(P32="y",J31,IF(K31,0,MAX(0,J31-H32+0.5)))</f>
        <v>0</v>
      </c>
      <c r="K32" s="61" t="n">
        <f aca="false" t="array" ref="K32:K32">IFERROR(OR(ABS(I32)&gt;=4, ABS(J32)&gt;=4),FALSE())</f>
        <v>0</v>
      </c>
      <c r="L32" s="61" t="n">
        <f aca="false">IF(K31,0,L31+1)</f>
        <v>4</v>
      </c>
      <c r="M32" s="62" t="n">
        <f aca="false">IF(P32="y","",C32)</f>
        <v>0.9924</v>
      </c>
      <c r="N32" s="61" t="n">
        <f aca="false">MIN(5,N31+1)</f>
        <v>5</v>
      </c>
      <c r="O32" s="66" t="str">
        <f aca="false">IF(C32&gt;=G32,"Yes","No")</f>
        <v>Yes</v>
      </c>
      <c r="P32" s="57"/>
    </row>
    <row r="33" customFormat="false" ht="15" hidden="false" customHeight="true" outlineLevel="0" collapsed="false">
      <c r="A33" s="53" t="n">
        <f aca="false">'Raw-Data'!I11</f>
        <v>46214</v>
      </c>
      <c r="B33" s="5" t="n">
        <f aca="false">'Raw-Data'!J11</f>
        <v>136</v>
      </c>
      <c r="C33" s="7" t="n">
        <f aca="false">'Raw-Data'!L11</f>
        <v>1</v>
      </c>
      <c r="D33" s="7" t="n">
        <f aca="true">IF(NOT($K32),D32,AVERAGE(OFFSET($M32,-1*MAX($L32,N32),0):OFFSET($M32,0,0)))</f>
        <v>0.76305</v>
      </c>
      <c r="E33" s="54" t="n">
        <f aca="true">IF(NOT($K32),E32,IFERROR(STDEV(OFFSET($M32,-1*MAX($L32,N32),0):OFFSET($M32,0,0)),E32))</f>
        <v>0.159755309770912</v>
      </c>
      <c r="F33" s="7" t="n">
        <f aca="false">MAX(0,D33-3*SQRT(D33*(1-D33)/B33))</f>
        <v>0.653665281020046</v>
      </c>
      <c r="G33" s="6" t="n">
        <v>0.9</v>
      </c>
      <c r="H33" s="55" t="n">
        <f aca="false">(C33-D33)/E33</f>
        <v>1.48320578727421</v>
      </c>
      <c r="I33" s="55" t="n">
        <f aca="false">IF(P33="y",I32,IF(K32,0,MAX(0,I32+H33-0.5)))</f>
        <v>2.72392652361127</v>
      </c>
      <c r="J33" s="55" t="n">
        <f aca="false">IF(P33="y",J32,IF(K32,0,MAX(0,J32-H33+0.5)))</f>
        <v>0</v>
      </c>
      <c r="K33" s="56" t="n">
        <f aca="false" t="array" ref="K33:K33">IFERROR(OR(ABS(I33)&gt;=4, ABS(J33)&gt;=4),FALSE())</f>
        <v>0</v>
      </c>
      <c r="L33" s="5" t="n">
        <f aca="false">IF(K32,0,L32+1)</f>
        <v>5</v>
      </c>
      <c r="M33" s="7" t="n">
        <f aca="false">IF(P33="y","",C33)</f>
        <v>1</v>
      </c>
      <c r="N33" s="5" t="n">
        <f aca="false">MIN(5,N32+1)</f>
        <v>5</v>
      </c>
      <c r="O33" s="5" t="str">
        <f aca="false">IF(C33&gt;=G33,"Yes","No")</f>
        <v>Yes</v>
      </c>
      <c r="P33" s="57"/>
    </row>
    <row r="34" customFormat="false" ht="15" hidden="false" customHeight="true" outlineLevel="0" collapsed="false">
      <c r="A34" s="60" t="n">
        <f aca="false">'Raw-Data'!I10</f>
        <v>46215</v>
      </c>
      <c r="B34" s="61" t="n">
        <f aca="false">'Raw-Data'!J10</f>
        <v>137</v>
      </c>
      <c r="C34" s="62" t="n">
        <f aca="false">'Raw-Data'!L10</f>
        <v>0.8261</v>
      </c>
      <c r="D34" s="62" t="n">
        <f aca="true">IF(NOT($K33),D33,AVERAGE(OFFSET($M33,-1*MAX($L33,N33),0):OFFSET($M33,0,0)))</f>
        <v>0.76305</v>
      </c>
      <c r="E34" s="63" t="n">
        <f aca="true">IF(NOT($K33),E33,IFERROR(STDEV(OFFSET($M33,-1*MAX($L33,N33),0):OFFSET($M33,0,0)),E33))</f>
        <v>0.159755309770912</v>
      </c>
      <c r="F34" s="62" t="n">
        <f aca="false">MAX(0,D34-3*SQRT(D34*(1-D34)/B34))</f>
        <v>0.654065226487072</v>
      </c>
      <c r="G34" s="64" t="n">
        <v>0.9</v>
      </c>
      <c r="H34" s="65" t="n">
        <f aca="false">(C34-D34)/E34</f>
        <v>0.394666068316686</v>
      </c>
      <c r="I34" s="65" t="n">
        <f aca="false">IF(P34="y",I33,IF(K33,0,MAX(0,I33+H34-0.5)))</f>
        <v>2.61859259192795</v>
      </c>
      <c r="J34" s="65" t="n">
        <f aca="false">IF(P34="y",J33,IF(K33,0,MAX(0,J33-H34+0.5)))</f>
        <v>0.105333931683314</v>
      </c>
      <c r="K34" s="61" t="n">
        <f aca="false" t="array" ref="K34:K34">IFERROR(OR(ABS(I34)&gt;=4, ABS(J34)&gt;=4),FALSE())</f>
        <v>0</v>
      </c>
      <c r="L34" s="61" t="n">
        <f aca="false">IF(K33,0,L33+1)</f>
        <v>6</v>
      </c>
      <c r="M34" s="62" t="n">
        <f aca="false">IF(P34="y","",C34)</f>
        <v>0.8261</v>
      </c>
      <c r="N34" s="61" t="n">
        <f aca="false">MIN(5,N33+1)</f>
        <v>5</v>
      </c>
      <c r="O34" s="66" t="str">
        <f aca="false">IF(C34&gt;=G34,"Yes","No")</f>
        <v>No</v>
      </c>
      <c r="P34" s="57"/>
    </row>
    <row r="35" customFormat="false" ht="15" hidden="false" customHeight="true" outlineLevel="0" collapsed="false">
      <c r="A35" s="53" t="n">
        <f aca="false">'Raw-Data'!I9</f>
        <v>46216</v>
      </c>
      <c r="B35" s="5" t="n">
        <f aca="false">'Raw-Data'!J9</f>
        <v>131</v>
      </c>
      <c r="C35" s="7" t="n">
        <f aca="false">'Raw-Data'!L9</f>
        <v>0.58</v>
      </c>
      <c r="D35" s="7" t="n">
        <f aca="true">IF(NOT($K34),D34,AVERAGE(OFFSET($M34,-1*MAX($L34,N34),0):OFFSET($M34,0,0)))</f>
        <v>0.76305</v>
      </c>
      <c r="E35" s="54" t="n">
        <f aca="true">IF(NOT($K34),E34,IFERROR(STDEV(OFFSET($M34,-1*MAX($L34,N34),0):OFFSET($M34,0,0)),E34))</f>
        <v>0.159755309770912</v>
      </c>
      <c r="F35" s="7" t="n">
        <f aca="false">MAX(0,D35-3*SQRT(D35*(1-D35)/B35))</f>
        <v>0.651597333926868</v>
      </c>
      <c r="G35" s="6" t="n">
        <v>0.9</v>
      </c>
      <c r="H35" s="55" t="n">
        <f aca="false">(C35-D35)/E35</f>
        <v>-1.14581481055304</v>
      </c>
      <c r="I35" s="55" t="n">
        <f aca="false">IF(P35="y",I34,IF(K34,0,MAX(0,I34+H35-0.5)))</f>
        <v>0.97277778137491</v>
      </c>
      <c r="J35" s="55" t="n">
        <f aca="false">IF(P35="y",J34,IF(K34,0,MAX(0,J34-H35+0.5)))</f>
        <v>1.75114874223636</v>
      </c>
      <c r="K35" s="56" t="n">
        <f aca="false" t="array" ref="K35:K35">IFERROR(OR(ABS(I35)&gt;=4, ABS(J35)&gt;=4),FALSE())</f>
        <v>0</v>
      </c>
      <c r="L35" s="5" t="n">
        <f aca="false">IF(K34,0,L34+1)</f>
        <v>7</v>
      </c>
      <c r="M35" s="7" t="n">
        <f aca="false">IF(P35="y","",C35)</f>
        <v>0.58</v>
      </c>
      <c r="N35" s="5" t="n">
        <f aca="false">MIN(5,N34+1)</f>
        <v>5</v>
      </c>
      <c r="O35" s="5" t="str">
        <f aca="false">IF(C35&gt;=G35,"Yes","No")</f>
        <v>No</v>
      </c>
      <c r="P35" s="57"/>
    </row>
    <row r="36" customFormat="false" ht="15" hidden="false" customHeight="true" outlineLevel="0" collapsed="false">
      <c r="A36" s="60" t="n">
        <f aca="false">'Raw-Data'!I8</f>
        <v>46217</v>
      </c>
      <c r="B36" s="61" t="n">
        <f aca="false">'Raw-Data'!J8</f>
        <v>140</v>
      </c>
      <c r="C36" s="62" t="n">
        <f aca="false">'Raw-Data'!L8</f>
        <v>0.99</v>
      </c>
      <c r="D36" s="62" t="n">
        <f aca="true">IF(NOT($K35),D35,AVERAGE(OFFSET($M35,-1*MAX($L35,N35),0):OFFSET($M35,0,0)))</f>
        <v>0.76305</v>
      </c>
      <c r="E36" s="63" t="n">
        <f aca="true">IF(NOT($K35),E35,IFERROR(STDEV(OFFSET($M35,-1*MAX($L35,N35),0):OFFSET($M35,0,0)),E35))</f>
        <v>0.159755309770912</v>
      </c>
      <c r="F36" s="62" t="n">
        <f aca="false">MAX(0,D36-3*SQRT(D36*(1-D36)/B36))</f>
        <v>0.655239243927148</v>
      </c>
      <c r="G36" s="64" t="n">
        <v>0.9</v>
      </c>
      <c r="H36" s="65" t="n">
        <f aca="false">(C36-D36)/E36</f>
        <v>1.42061005875451</v>
      </c>
      <c r="I36" s="65" t="n">
        <f aca="false">IF(P36="y",I35,IF(K35,0,MAX(0,I35+H36-0.5)))</f>
        <v>1.89338784012942</v>
      </c>
      <c r="J36" s="65" t="n">
        <f aca="false">IF(P36="y",J35,IF(K35,0,MAX(0,J35-H36+0.5)))</f>
        <v>0.830538683481846</v>
      </c>
      <c r="K36" s="61" t="n">
        <f aca="false" t="array" ref="K36:K36">IFERROR(OR(ABS(I36)&gt;=4, ABS(J36)&gt;=4),FALSE())</f>
        <v>0</v>
      </c>
      <c r="L36" s="61" t="n">
        <f aca="false">IF(K35,0,L35+1)</f>
        <v>8</v>
      </c>
      <c r="M36" s="62" t="n">
        <f aca="false">IF(P36="y","",C36)</f>
        <v>0.99</v>
      </c>
      <c r="N36" s="61" t="n">
        <f aca="false">MIN(5,N35+1)</f>
        <v>5</v>
      </c>
      <c r="O36" s="66" t="str">
        <f aca="false">IF(C36&gt;=G36,"Yes","No")</f>
        <v>Yes</v>
      </c>
      <c r="P36" s="57"/>
    </row>
    <row r="37" customFormat="false" ht="15" hidden="false" customHeight="true" outlineLevel="0" collapsed="false">
      <c r="A37" s="53" t="n">
        <f aca="false">'Raw-Data'!I7</f>
        <v>46218</v>
      </c>
      <c r="B37" s="5" t="n">
        <f aca="false">'Raw-Data'!J7</f>
        <v>115</v>
      </c>
      <c r="C37" s="7" t="n">
        <f aca="false">'Raw-Data'!L7</f>
        <v>0.9502</v>
      </c>
      <c r="D37" s="7" t="n">
        <f aca="true">IF(NOT($K36),D36,AVERAGE(OFFSET($M36,-1*MAX($L36,N36),0):OFFSET($M36,0,0)))</f>
        <v>0.76305</v>
      </c>
      <c r="E37" s="54" t="n">
        <f aca="true">IF(NOT($K36),E36,IFERROR(STDEV(OFFSET($M36,-1*MAX($L36,N36),0):OFFSET($M36,0,0)),E36))</f>
        <v>0.159755309770912</v>
      </c>
      <c r="F37" s="7" t="n">
        <f aca="false">MAX(0,D37-3*SQRT(D37*(1-D37)/B37))</f>
        <v>0.644096509728272</v>
      </c>
      <c r="G37" s="6" t="n">
        <v>0.9</v>
      </c>
      <c r="H37" s="55" t="n">
        <f aca="false">(C37-D37)/E37</f>
        <v>1.17147905924612</v>
      </c>
      <c r="I37" s="55" t="n">
        <f aca="false">IF(P37="y",I36,IF(K36,0,MAX(0,I36+H37-0.5)))</f>
        <v>2.56486689937554</v>
      </c>
      <c r="J37" s="55" t="n">
        <f aca="false">IF(P37="y",J36,IF(K36,0,MAX(0,J36-H37+0.5)))</f>
        <v>0.159059624235727</v>
      </c>
      <c r="K37" s="56" t="n">
        <f aca="false" t="array" ref="K37:K37">IFERROR(OR(ABS(I37)&gt;=4, ABS(J37)&gt;=4),FALSE())</f>
        <v>0</v>
      </c>
      <c r="L37" s="5" t="n">
        <f aca="false">IF(K36,0,L36+1)</f>
        <v>9</v>
      </c>
      <c r="M37" s="7" t="n">
        <f aca="false">IF(P37="y","",C37)</f>
        <v>0.9502</v>
      </c>
      <c r="N37" s="5" t="n">
        <f aca="false">MIN(5,N36+1)</f>
        <v>5</v>
      </c>
      <c r="O37" s="5" t="str">
        <f aca="false">IF(C37&gt;=G37,"Yes","No")</f>
        <v>Yes</v>
      </c>
      <c r="P37" s="57"/>
    </row>
    <row r="38" customFormat="false" ht="15" hidden="false" customHeight="true" outlineLevel="0" collapsed="false">
      <c r="A38" s="60" t="n">
        <f aca="false">'Raw-Data'!I6</f>
        <v>46219</v>
      </c>
      <c r="B38" s="61" t="n">
        <f aca="false">'Raw-Data'!J6</f>
        <v>136</v>
      </c>
      <c r="C38" s="62" t="n">
        <f aca="false">'Raw-Data'!L6</f>
        <v>0.697</v>
      </c>
      <c r="D38" s="62" t="n">
        <f aca="true">IF(NOT($K37),D37,AVERAGE(OFFSET($M37,-1*MAX($L37,N37),0):OFFSET($M37,0,0)))</f>
        <v>0.76305</v>
      </c>
      <c r="E38" s="63" t="n">
        <f aca="true">IF(NOT($K37),E37,IFERROR(STDEV(OFFSET($M37,-1*MAX($L37,N37),0):OFFSET($M37,0,0)),E37))</f>
        <v>0.159755309770912</v>
      </c>
      <c r="F38" s="62" t="n">
        <f aca="false">MAX(0,D38-3*SQRT(D38*(1-D38)/B38))</f>
        <v>0.653665281020046</v>
      </c>
      <c r="G38" s="64" t="n">
        <v>0.9</v>
      </c>
      <c r="H38" s="65" t="n">
        <f aca="false">(C38-D38)/E38</f>
        <v>-0.413444786872594</v>
      </c>
      <c r="I38" s="65" t="n">
        <f aca="false">IF(P38="y",I37,IF(K37,0,MAX(0,I37+H38-0.5)))</f>
        <v>1.65142211250295</v>
      </c>
      <c r="J38" s="65" t="n">
        <f aca="false">IF(P38="y",J37,IF(K37,0,MAX(0,J37-H38+0.5)))</f>
        <v>1.07250441110832</v>
      </c>
      <c r="K38" s="61" t="n">
        <f aca="false" t="array" ref="K38:K38">IFERROR(OR(ABS(I38)&gt;=4, ABS(J38)&gt;=4),FALSE())</f>
        <v>0</v>
      </c>
      <c r="L38" s="61" t="n">
        <f aca="false">IF(K37,0,L37+1)</f>
        <v>10</v>
      </c>
      <c r="M38" s="62" t="n">
        <f aca="false">IF(P38="y","",C38)</f>
        <v>0.697</v>
      </c>
      <c r="N38" s="61" t="n">
        <f aca="false">MIN(5,N37+1)</f>
        <v>5</v>
      </c>
      <c r="O38" s="66" t="str">
        <f aca="false">IF(C38&gt;=G38,"Yes","No")</f>
        <v>No</v>
      </c>
      <c r="P38" s="57"/>
    </row>
    <row r="39" customFormat="false" ht="15" hidden="false" customHeight="true" outlineLevel="0" collapsed="false">
      <c r="A39" s="53" t="n">
        <f aca="false">'Raw-Data'!I5</f>
        <v>46220</v>
      </c>
      <c r="B39" s="5" t="n">
        <f aca="false">'Raw-Data'!J5</f>
        <v>119</v>
      </c>
      <c r="C39" s="7" t="n">
        <f aca="false">'Raw-Data'!L5</f>
        <v>0.8024</v>
      </c>
      <c r="D39" s="7" t="n">
        <f aca="true">IF(NOT($K38),D38,AVERAGE(OFFSET($M38,-1*MAX($L38,N38),0):OFFSET($M38,0,0)))</f>
        <v>0.76305</v>
      </c>
      <c r="E39" s="54" t="n">
        <f aca="true">IF(NOT($K38),E38,IFERROR(STDEV(OFFSET($M38,-1*MAX($L38,N38),0):OFFSET($M38,0,0)),E38))</f>
        <v>0.159755309770912</v>
      </c>
      <c r="F39" s="7" t="n">
        <f aca="false">MAX(0,D39-3*SQRT(D39*(1-D39)/B39))</f>
        <v>0.646112816636704</v>
      </c>
      <c r="G39" s="6" t="n">
        <v>0.9</v>
      </c>
      <c r="H39" s="55" t="n">
        <f aca="false">(C39-D39)/E39</f>
        <v>0.246314191725006</v>
      </c>
      <c r="I39" s="55" t="n">
        <f aca="false">IF(P39="y",I38,IF(K38,0,MAX(0,I38+H39-0.5)))</f>
        <v>1.39773630422795</v>
      </c>
      <c r="J39" s="55" t="n">
        <f aca="false">IF(P39="y",J38,IF(K38,0,MAX(0,J38-H39+0.5)))</f>
        <v>1.32619021938331</v>
      </c>
      <c r="K39" s="56" t="n">
        <f aca="false" t="array" ref="K39:K39">IFERROR(OR(ABS(I39)&gt;=4, ABS(J39)&gt;=4),FALSE())</f>
        <v>0</v>
      </c>
      <c r="L39" s="5" t="n">
        <f aca="false">IF(K38,0,L38+1)</f>
        <v>11</v>
      </c>
      <c r="M39" s="7" t="n">
        <f aca="false">IF(P39="y","",C39)</f>
        <v>0.8024</v>
      </c>
      <c r="N39" s="5" t="n">
        <f aca="false">MIN(5,N38+1)</f>
        <v>5</v>
      </c>
      <c r="O39" s="5" t="str">
        <f aca="false">IF(C39&gt;=G39,"Yes","No")</f>
        <v>No</v>
      </c>
      <c r="P39" s="57"/>
    </row>
    <row r="40" customFormat="false" ht="15" hidden="false" customHeight="true" outlineLevel="0" collapsed="false">
      <c r="A40" s="60" t="n">
        <f aca="false">'Raw-Data'!I4</f>
        <v>46221</v>
      </c>
      <c r="B40" s="61" t="n">
        <f aca="false">'Raw-Data'!J4</f>
        <v>143</v>
      </c>
      <c r="C40" s="62" t="n">
        <f aca="false">'Raw-Data'!L4</f>
        <v>0.6593</v>
      </c>
      <c r="D40" s="62" t="n">
        <f aca="true">IF(NOT($K39),D39,AVERAGE(OFFSET($M39,-1*MAX($L39,N39),0):OFFSET($M39,0,0)))</f>
        <v>0.76305</v>
      </c>
      <c r="E40" s="63" t="n">
        <f aca="true">IF(NOT($K39),E39,IFERROR(STDEV(OFFSET($M39,-1*MAX($L39,N39),0):OFFSET($M39,0,0)),E39))</f>
        <v>0.159755309770912</v>
      </c>
      <c r="F40" s="62" t="n">
        <f aca="false">MAX(0,D40-3*SQRT(D40*(1-D40)/B40))</f>
        <v>0.656376120226767</v>
      </c>
      <c r="G40" s="64" t="n">
        <v>0.9</v>
      </c>
      <c r="H40" s="65" t="n">
        <f aca="false">(C40-D40)/E40</f>
        <v>-0.64943068339185</v>
      </c>
      <c r="I40" s="65" t="n">
        <f aca="false">IF(P40="y",I39,IF(K39,0,MAX(0,I39+H40-0.5)))</f>
        <v>0.248305620836102</v>
      </c>
      <c r="J40" s="65" t="n">
        <f aca="false">IF(P40="y",J39,IF(K39,0,MAX(0,J39-H40+0.5)))</f>
        <v>2.47562090277516</v>
      </c>
      <c r="K40" s="61" t="n">
        <f aca="false" t="array" ref="K40:K40">IFERROR(OR(ABS(I40)&gt;=4, ABS(J40)&gt;=4),FALSE())</f>
        <v>0</v>
      </c>
      <c r="L40" s="61" t="n">
        <f aca="false">IF(K39,0,L39+1)</f>
        <v>12</v>
      </c>
      <c r="M40" s="62" t="n">
        <f aca="false">IF(P40="y","",C40)</f>
        <v>0.6593</v>
      </c>
      <c r="N40" s="61" t="n">
        <f aca="false">MIN(5,N39+1)</f>
        <v>5</v>
      </c>
      <c r="O40" s="66" t="str">
        <f aca="false">IF(C40&gt;=G40,"Yes","No")</f>
        <v>No</v>
      </c>
      <c r="P40" s="57"/>
    </row>
    <row r="41" customFormat="false" ht="15" hidden="false" customHeight="true" outlineLevel="0" collapsed="false">
      <c r="A41" s="53" t="n">
        <f aca="false">'Raw-Data'!I3</f>
        <v>46222</v>
      </c>
      <c r="B41" s="5" t="n">
        <f aca="false">'Raw-Data'!J3</f>
        <v>136</v>
      </c>
      <c r="C41" s="7" t="n">
        <f aca="false">'Raw-Data'!L3</f>
        <v>0.912</v>
      </c>
      <c r="D41" s="7" t="n">
        <f aca="true">IF(NOT($K40),D40,AVERAGE(OFFSET($M40,-1*MAX($L40,N40),0):OFFSET($M40,0,0)))</f>
        <v>0.76305</v>
      </c>
      <c r="E41" s="54" t="n">
        <f aca="true">IF(NOT($K40),E40,IFERROR(STDEV(OFFSET($M40,-1*MAX($L40,N40),0):OFFSET($M40,0,0)),E40))</f>
        <v>0.159755309770912</v>
      </c>
      <c r="F41" s="7" t="n">
        <f aca="false">MAX(0,D41-3*SQRT(D41*(1-D41)/B41))</f>
        <v>0.653665281020046</v>
      </c>
      <c r="G41" s="6" t="n">
        <v>0.9</v>
      </c>
      <c r="H41" s="55" t="n">
        <f aca="false">(C41-D41)/E41</f>
        <v>0.932363376300879</v>
      </c>
      <c r="I41" s="55" t="n">
        <f aca="false">IF(P41="y",I40,IF(K40,0,MAX(0,I40+H41-0.5)))</f>
        <v>0.680668997136981</v>
      </c>
      <c r="J41" s="55" t="n">
        <f aca="false">IF(P41="y",J40,IF(K40,0,MAX(0,J40-H41+0.5)))</f>
        <v>2.04325752647429</v>
      </c>
      <c r="K41" s="56" t="n">
        <f aca="false" t="array" ref="K41:K41">IFERROR(OR(ABS(I41)&gt;=4, ABS(J41)&gt;=4),FALSE())</f>
        <v>0</v>
      </c>
      <c r="L41" s="5" t="n">
        <f aca="false">IF(K40,0,L40+1)</f>
        <v>13</v>
      </c>
      <c r="M41" s="7" t="n">
        <f aca="false">IF(P41="y","",C41)</f>
        <v>0.912</v>
      </c>
      <c r="N41" s="5" t="n">
        <f aca="false">MIN(5,N40+1)</f>
        <v>5</v>
      </c>
      <c r="O41" s="5" t="str">
        <f aca="false">IF(C41&gt;=G41,"Yes","No")</f>
        <v>Yes</v>
      </c>
      <c r="P41" s="57"/>
    </row>
    <row r="44" customFormat="false" ht="15" hidden="false" customHeight="false" outlineLevel="0" collapsed="false">
      <c r="A44" s="70" t="s">
        <v>53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</row>
    <row r="46" customFormat="false" ht="15" hidden="false" customHeight="false" outlineLevel="0" collapsed="false">
      <c r="A46" s="71" t="s">
        <v>54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</row>
    <row r="47" customFormat="false" ht="15" hidden="false" customHeight="true" outlineLevel="0" collapsed="false">
      <c r="A47" s="72" t="s">
        <v>59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</row>
    <row r="50" customFormat="false" ht="15" hidden="false" customHeight="false" outlineLevel="0" collapsed="false">
      <c r="A50" s="71" t="s">
        <v>56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</row>
    <row r="51" customFormat="false" ht="15" hidden="false" customHeight="true" outlineLevel="0" collapsed="false">
      <c r="A51" s="72" t="s">
        <v>60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</row>
    <row r="52" customFormat="false" ht="15" hidden="false" customHeight="false" outlineLevel="0" collapsed="false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</row>
  </sheetData>
  <mergeCells count="8">
    <mergeCell ref="A1:O1"/>
    <mergeCell ref="A2:O2"/>
    <mergeCell ref="R4:S4"/>
    <mergeCell ref="A44:O44"/>
    <mergeCell ref="A46:O46"/>
    <mergeCell ref="A47:O47"/>
    <mergeCell ref="A50:O50"/>
    <mergeCell ref="A51:O52"/>
  </mergeCells>
  <conditionalFormatting sqref="K5:K41">
    <cfRule type="cellIs" priority="2" operator="equal" aboveAverage="0" equalAverage="0" bottom="0" percent="0" rank="0" text="" dxfId="0">
      <formula>1</formula>
    </cfRule>
  </conditionalFormatting>
  <conditionalFormatting sqref="O5:O41"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9" width="13"/>
    <col collapsed="false" customWidth="true" hidden="false" outlineLevel="0" max="2" min="2" style="49" width="14"/>
    <col collapsed="false" customWidth="true" hidden="false" outlineLevel="0" max="3" min="3" style="49" width="15"/>
    <col collapsed="false" customWidth="true" hidden="false" outlineLevel="0" max="4" min="4" style="49" width="12"/>
    <col collapsed="false" customWidth="true" hidden="false" outlineLevel="0" max="6" min="5" style="49" width="11"/>
    <col collapsed="false" customWidth="true" hidden="false" outlineLevel="0" max="8" min="7" style="49" width="10"/>
    <col collapsed="false" customWidth="true" hidden="false" outlineLevel="0" max="10" min="9" style="49" width="9"/>
    <col collapsed="false" customWidth="true" hidden="false" outlineLevel="0" max="11" min="11" style="49" width="14"/>
    <col collapsed="false" customWidth="true" hidden="false" outlineLevel="0" max="12" min="12" style="49" width="9"/>
    <col collapsed="false" customWidth="true" hidden="false" outlineLevel="0" max="13" min="13" style="49" width="15"/>
    <col collapsed="false" customWidth="true" hidden="false" outlineLevel="0" max="14" min="14" style="49" width="8"/>
    <col collapsed="false" customWidth="true" hidden="false" outlineLevel="0" max="15" min="15" style="49" width="13"/>
    <col collapsed="false" customWidth="true" hidden="false" outlineLevel="0" max="16" min="16" style="49" width="9"/>
    <col collapsed="false" customWidth="true" hidden="false" outlineLevel="0" max="18" min="18" style="49" width="30"/>
    <col collapsed="false" customWidth="true" hidden="false" outlineLevel="0" max="19" min="19" style="49" width="14"/>
  </cols>
  <sheetData>
    <row r="1" customFormat="false" ht="18" hidden="false" customHeight="true" outlineLevel="0" collapsed="false">
      <c r="A1" s="50" t="s">
        <v>61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customFormat="false" ht="15" hidden="false" customHeight="true" outlineLevel="0" collapsed="false">
      <c r="A2" s="51" t="s">
        <v>31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4" customFormat="false" ht="15" hidden="false" customHeight="true" outlineLevel="0" collapsed="false">
      <c r="A4" s="3" t="s">
        <v>20</v>
      </c>
      <c r="B4" s="3" t="s">
        <v>32</v>
      </c>
      <c r="C4" s="3" t="s">
        <v>10</v>
      </c>
      <c r="D4" s="3" t="s">
        <v>33</v>
      </c>
      <c r="E4" s="3" t="s">
        <v>34</v>
      </c>
      <c r="F4" s="3" t="s">
        <v>35</v>
      </c>
      <c r="G4" s="3" t="s">
        <v>4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R4" s="52" t="s">
        <v>45</v>
      </c>
      <c r="S4" s="52"/>
    </row>
    <row r="5" customFormat="false" ht="15" hidden="false" customHeight="true" outlineLevel="0" collapsed="false">
      <c r="A5" s="53" t="n">
        <f aca="false">'Raw-Data'!N34</f>
        <v>46191</v>
      </c>
      <c r="B5" s="5" t="n">
        <f aca="false">'Raw-Data'!O34</f>
        <v>44</v>
      </c>
      <c r="C5" s="7" t="n">
        <f aca="false">'Raw-Data'!P34</f>
        <v>0.875</v>
      </c>
      <c r="D5" s="7" t="n">
        <v>0.9</v>
      </c>
      <c r="E5" s="54" t="n">
        <v>0.05</v>
      </c>
      <c r="F5" s="7" t="n">
        <f aca="false">MAX(0,D5-3*SQRT(D5*(1-D5)/B5))</f>
        <v>0.764319894940006</v>
      </c>
      <c r="G5" s="6" t="n">
        <v>0.95</v>
      </c>
      <c r="H5" s="55" t="n">
        <f aca="false">(C5-D5)/E5</f>
        <v>-0.5</v>
      </c>
      <c r="I5" s="55" t="n">
        <v>0</v>
      </c>
      <c r="J5" s="55" t="n">
        <v>0</v>
      </c>
      <c r="K5" s="56" t="n">
        <f aca="false" t="array" ref="K5:K5">IFERROR(OR(ABS(I5)&gt;=4, ABS(J5)&gt;=4),FALSE())</f>
        <v>0</v>
      </c>
      <c r="L5" s="5" t="n">
        <v>0</v>
      </c>
      <c r="M5" s="7" t="n">
        <f aca="false">IF(P5="y","",C5)</f>
        <v>0.875</v>
      </c>
      <c r="N5" s="5" t="n">
        <v>1</v>
      </c>
      <c r="O5" s="5" t="str">
        <f aca="false">IF(C5&gt;=G5,"Yes","No")</f>
        <v>No</v>
      </c>
      <c r="P5" s="57"/>
      <c r="R5" s="58" t="s">
        <v>4</v>
      </c>
      <c r="S5" s="59" t="n">
        <v>0.95</v>
      </c>
    </row>
    <row r="6" customFormat="false" ht="15" hidden="false" customHeight="true" outlineLevel="0" collapsed="false">
      <c r="A6" s="60" t="n">
        <f aca="false">'Raw-Data'!N33</f>
        <v>46192</v>
      </c>
      <c r="B6" s="61" t="n">
        <f aca="false">'Raw-Data'!O33</f>
        <v>37</v>
      </c>
      <c r="C6" s="62" t="n">
        <f aca="false">'Raw-Data'!P33</f>
        <v>0.967741935483871</v>
      </c>
      <c r="D6" s="62" t="n">
        <f aca="true">IF(NOT($K5),D5,AVERAGE(OFFSET($M5,-1*MAX($L5,N5),0):OFFSET($M5,0,0)))</f>
        <v>0.9</v>
      </c>
      <c r="E6" s="63" t="n">
        <f aca="true">IF(NOT($K5),E5,IFERROR(STDEV(OFFSET($M5,-1*MAX($L5,N5),0):OFFSET($M5,0,0)),E5))</f>
        <v>0.05</v>
      </c>
      <c r="F6" s="62" t="n">
        <f aca="false">MAX(0,D6-3*SQRT(D6*(1-D6)/B6))</f>
        <v>0.752040911425179</v>
      </c>
      <c r="G6" s="64" t="n">
        <v>0.95</v>
      </c>
      <c r="H6" s="65" t="n">
        <f aca="false">(C6-D6)/E6</f>
        <v>1.35483870967742</v>
      </c>
      <c r="I6" s="65" t="n">
        <f aca="false">IF(P6="y",I5,IF(K5,0,MAX(0,I5+H6-0.5)))</f>
        <v>0.85483870967742</v>
      </c>
      <c r="J6" s="65" t="n">
        <f aca="false">IF(P6="y",J5,IF(K5,0,MAX(0,J5-H6+0.5)))</f>
        <v>0</v>
      </c>
      <c r="K6" s="61" t="n">
        <f aca="false" t="array" ref="K6:K6">IFERROR(OR(ABS(I6)&gt;=4, ABS(J6)&gt;=4),FALSE())</f>
        <v>0</v>
      </c>
      <c r="L6" s="61" t="n">
        <f aca="false">IF(K5,0,L5+1)</f>
        <v>1</v>
      </c>
      <c r="M6" s="62" t="n">
        <f aca="false">IF(P6="y","",C6)</f>
        <v>0.967741935483871</v>
      </c>
      <c r="N6" s="61" t="n">
        <f aca="false">MIN(5,N5+1)</f>
        <v>2</v>
      </c>
      <c r="O6" s="66" t="str">
        <f aca="false">IF(C6&gt;=G6,"Yes","No")</f>
        <v>Yes</v>
      </c>
      <c r="P6" s="57"/>
      <c r="R6" s="58" t="s">
        <v>46</v>
      </c>
      <c r="S6" s="67" t="n">
        <v>32</v>
      </c>
    </row>
    <row r="7" customFormat="false" ht="15" hidden="false" customHeight="true" outlineLevel="0" collapsed="false">
      <c r="A7" s="53" t="n">
        <f aca="false">'Raw-Data'!N32</f>
        <v>46193</v>
      </c>
      <c r="B7" s="5" t="n">
        <f aca="false">'Raw-Data'!O32</f>
        <v>54</v>
      </c>
      <c r="C7" s="7" t="n">
        <f aca="false">'Raw-Data'!P32</f>
        <v>0.681818181818181</v>
      </c>
      <c r="D7" s="7" t="n">
        <f aca="true">IF(NOT($K6),D6,AVERAGE(OFFSET($M6,-1*MAX($L6,N6),0):OFFSET($M6,0,0)))</f>
        <v>0.9</v>
      </c>
      <c r="E7" s="54" t="n">
        <f aca="true">IF(NOT($K6),E6,IFERROR(STDEV(OFFSET($M6,-1*MAX($L6,N6),0):OFFSET($M6,0,0)),E6))</f>
        <v>0.05</v>
      </c>
      <c r="F7" s="7" t="n">
        <f aca="false">MAX(0,D7-3*SQRT(D7*(1-D7)/B7))</f>
        <v>0.777525512860841</v>
      </c>
      <c r="G7" s="6" t="n">
        <v>0.95</v>
      </c>
      <c r="H7" s="55" t="n">
        <f aca="false">(C7-D7)/E7</f>
        <v>-4.36363636363638</v>
      </c>
      <c r="I7" s="55" t="n">
        <f aca="false">IF(P7="y",I6,IF(K6,0,MAX(0,I6+H7-0.5)))</f>
        <v>0</v>
      </c>
      <c r="J7" s="55" t="n">
        <f aca="false">IF(P7="y",J6,IF(K6,0,MAX(0,J6-H7+0.5)))</f>
        <v>4.86363636363638</v>
      </c>
      <c r="K7" s="56" t="n">
        <f aca="false" t="array" ref="K7:K7">IFERROR(OR(ABS(I7)&gt;=4, ABS(J7)&gt;=4),FALSE())</f>
        <v>1</v>
      </c>
      <c r="L7" s="5" t="n">
        <f aca="false">IF(K6,0,L6+1)</f>
        <v>2</v>
      </c>
      <c r="M7" s="7" t="n">
        <f aca="false">IF(P7="y","",C7)</f>
        <v>0.681818181818181</v>
      </c>
      <c r="N7" s="5" t="n">
        <f aca="false">MIN(5,N6+1)</f>
        <v>3</v>
      </c>
      <c r="O7" s="5" t="str">
        <f aca="false">IF(C7&gt;=G7,"Yes","No")</f>
        <v>No</v>
      </c>
      <c r="P7" s="57"/>
      <c r="R7" s="58" t="s">
        <v>47</v>
      </c>
      <c r="S7" s="67" t="n">
        <f aca="false">COUNTIF(K5:K36,TRUE())</f>
        <v>3</v>
      </c>
    </row>
    <row r="8" customFormat="false" ht="15" hidden="false" customHeight="true" outlineLevel="0" collapsed="false">
      <c r="A8" s="60" t="n">
        <f aca="false">'Raw-Data'!N31</f>
        <v>46194</v>
      </c>
      <c r="B8" s="61" t="n">
        <f aca="false">'Raw-Data'!O31</f>
        <v>35</v>
      </c>
      <c r="C8" s="62" t="n">
        <f aca="false">'Raw-Data'!P31</f>
        <v>0.964285714285714</v>
      </c>
      <c r="D8" s="62" t="n">
        <f aca="true">IF(NOT($K7),D7,AVERAGE(OFFSET($M7,-1*MAX($L7,N7),0):OFFSET($M7,0,0)))</f>
        <v>0.841520039100684</v>
      </c>
      <c r="E8" s="63" t="n">
        <f aca="true">IF(NOT($K7),E7,IFERROR(STDEV(OFFSET($M7,-1*MAX($L7,N7),0):OFFSET($M7,0,0)),E7))</f>
        <v>0.145872475347251</v>
      </c>
      <c r="F8" s="62" t="n">
        <f aca="false">MAX(0,D8-3*SQRT(D8*(1-D8)/B8))</f>
        <v>0.65633468284269</v>
      </c>
      <c r="G8" s="64" t="n">
        <v>0.95</v>
      </c>
      <c r="H8" s="65" t="n">
        <f aca="false">(C8-D8)/E8</f>
        <v>0.841595886357485</v>
      </c>
      <c r="I8" s="65" t="n">
        <f aca="false">IF(P8="y",I7,IF(K7,0,MAX(0,I7+H8-0.5)))</f>
        <v>0</v>
      </c>
      <c r="J8" s="65" t="n">
        <f aca="false">IF(P8="y",J7,IF(K7,0,MAX(0,J7-H8+0.5)))</f>
        <v>0</v>
      </c>
      <c r="K8" s="61" t="n">
        <f aca="false" t="array" ref="K8:K8">IFERROR(OR(ABS(I8)&gt;=4, ABS(J8)&gt;=4),FALSE())</f>
        <v>0</v>
      </c>
      <c r="L8" s="61" t="n">
        <f aca="false">IF(K7,0,L7+1)</f>
        <v>0</v>
      </c>
      <c r="M8" s="62" t="n">
        <f aca="false">IF(P8="y","",C8)</f>
        <v>0.964285714285714</v>
      </c>
      <c r="N8" s="61" t="n">
        <f aca="false">MIN(5,N7+1)</f>
        <v>4</v>
      </c>
      <c r="O8" s="66" t="str">
        <f aca="false">IF(C8&gt;=G8,"Yes","No")</f>
        <v>Yes</v>
      </c>
      <c r="P8" s="57"/>
      <c r="R8" s="58" t="s">
        <v>48</v>
      </c>
      <c r="S8" s="68" t="str">
        <f aca="false">COUNTIF(O5:O36,"Yes")&amp;"/"&amp;32</f>
        <v>6/32</v>
      </c>
    </row>
    <row r="9" customFormat="false" ht="15" hidden="false" customHeight="true" outlineLevel="0" collapsed="false">
      <c r="A9" s="53" t="n">
        <f aca="false">'Raw-Data'!N30</f>
        <v>46195</v>
      </c>
      <c r="B9" s="5" t="n">
        <f aca="false">'Raw-Data'!O30</f>
        <v>39</v>
      </c>
      <c r="C9" s="7" t="n">
        <f aca="false">'Raw-Data'!P30</f>
        <v>0.793103448275862</v>
      </c>
      <c r="D9" s="7" t="n">
        <f aca="true">IF(NOT($K8),D8,AVERAGE(OFFSET($M8,-1*MAX($L8,N8),0):OFFSET($M8,0,0)))</f>
        <v>0.841520039100684</v>
      </c>
      <c r="E9" s="54" t="n">
        <f aca="true">IF(NOT($K8),E8,IFERROR(STDEV(OFFSET($M8,-1*MAX($L8,N8),0):OFFSET($M8,0,0)),E8))</f>
        <v>0.145872475347251</v>
      </c>
      <c r="F9" s="7" t="n">
        <f aca="false">MAX(0,D9-3*SQRT(D9*(1-D9)/B9))</f>
        <v>0.666088222698983</v>
      </c>
      <c r="G9" s="6" t="n">
        <v>0.95</v>
      </c>
      <c r="H9" s="55" t="n">
        <f aca="false">(C9-D9)/E9</f>
        <v>-0.331910394401451</v>
      </c>
      <c r="I9" s="55" t="n">
        <f aca="false">IF(P9="y",I8,IF(K8,0,MAX(0,I8+H9-0.5)))</f>
        <v>0</v>
      </c>
      <c r="J9" s="55" t="n">
        <f aca="false">IF(P9="y",J8,IF(K8,0,MAX(0,J8-H9+0.5)))</f>
        <v>0.831910394401451</v>
      </c>
      <c r="K9" s="56" t="n">
        <f aca="false" t="array" ref="K9:K9">IFERROR(OR(ABS(I9)&gt;=4, ABS(J9)&gt;=4),FALSE())</f>
        <v>0</v>
      </c>
      <c r="L9" s="5" t="n">
        <f aca="false">IF(K8,0,L8+1)</f>
        <v>1</v>
      </c>
      <c r="M9" s="7" t="n">
        <f aca="false">IF(P9="y","",C9)</f>
        <v>0.793103448275862</v>
      </c>
      <c r="N9" s="5" t="n">
        <f aca="false">MIN(5,N8+1)</f>
        <v>5</v>
      </c>
      <c r="O9" s="5" t="str">
        <f aca="false">IF(C9&gt;=G9,"Yes","No")</f>
        <v>No</v>
      </c>
      <c r="P9" s="57"/>
      <c r="R9" s="58" t="s">
        <v>49</v>
      </c>
      <c r="S9" s="69" t="n">
        <f aca="false">AVERAGE(C5:C36)</f>
        <v>0.840434191347586</v>
      </c>
    </row>
    <row r="10" customFormat="false" ht="15" hidden="false" customHeight="true" outlineLevel="0" collapsed="false">
      <c r="A10" s="60" t="n">
        <f aca="false">'Raw-Data'!N29</f>
        <v>46196</v>
      </c>
      <c r="B10" s="61" t="n">
        <f aca="false">'Raw-Data'!O29</f>
        <v>47</v>
      </c>
      <c r="C10" s="62" t="n">
        <f aca="false">'Raw-Data'!P29</f>
        <v>0.75</v>
      </c>
      <c r="D10" s="62" t="n">
        <f aca="true">IF(NOT($K9),D9,AVERAGE(OFFSET($M9,-1*MAX($L9,N9),0):OFFSET($M9,0,0)))</f>
        <v>0.841520039100684</v>
      </c>
      <c r="E10" s="63" t="n">
        <f aca="true">IF(NOT($K9),E9,IFERROR(STDEV(OFFSET($M9,-1*MAX($L9,N9),0):OFFSET($M9,0,0)),E9))</f>
        <v>0.145872475347251</v>
      </c>
      <c r="F10" s="62" t="n">
        <f aca="false">MAX(0,D10-3*SQRT(D10*(1-D10)/B10))</f>
        <v>0.681714534573089</v>
      </c>
      <c r="G10" s="64" t="n">
        <v>0.95</v>
      </c>
      <c r="H10" s="65" t="n">
        <f aca="false">(C10-D10)/E10</f>
        <v>-0.627397587398305</v>
      </c>
      <c r="I10" s="65" t="n">
        <f aca="false">IF(P10="y",I9,IF(K9,0,MAX(0,I9+H10-0.5)))</f>
        <v>0</v>
      </c>
      <c r="J10" s="65" t="n">
        <f aca="false">IF(P10="y",J9,IF(K9,0,MAX(0,J9-H10+0.5)))</f>
        <v>1.95930798179976</v>
      </c>
      <c r="K10" s="61" t="n">
        <f aca="false" t="array" ref="K10:K10">IFERROR(OR(ABS(I10)&gt;=4, ABS(J10)&gt;=4),FALSE())</f>
        <v>0</v>
      </c>
      <c r="L10" s="61" t="n">
        <f aca="false">IF(K9,0,L9+1)</f>
        <v>2</v>
      </c>
      <c r="M10" s="62" t="n">
        <f aca="false">IF(P10="y","",C10)</f>
        <v>0.75</v>
      </c>
      <c r="N10" s="61" t="n">
        <f aca="false">MIN(5,N9+1)</f>
        <v>5</v>
      </c>
      <c r="O10" s="66" t="str">
        <f aca="false">IF(C10&gt;=G10,"Yes","No")</f>
        <v>No</v>
      </c>
      <c r="P10" s="57"/>
      <c r="R10" s="58" t="s">
        <v>50</v>
      </c>
      <c r="S10" s="69" t="n">
        <f aca="false">AVERAGE(C5:C36)-G5</f>
        <v>-0.109565808652414</v>
      </c>
    </row>
    <row r="11" customFormat="false" ht="15" hidden="false" customHeight="true" outlineLevel="0" collapsed="false">
      <c r="A11" s="53" t="n">
        <f aca="false">'Raw-Data'!N28</f>
        <v>46197</v>
      </c>
      <c r="B11" s="5" t="n">
        <f aca="false">'Raw-Data'!O28</f>
        <v>44</v>
      </c>
      <c r="C11" s="7" t="n">
        <f aca="false">'Raw-Data'!P28</f>
        <v>0.95</v>
      </c>
      <c r="D11" s="7" t="n">
        <f aca="true">IF(NOT($K10),D10,AVERAGE(OFFSET($M10,-1*MAX($L10,N10),0):OFFSET($M10,0,0)))</f>
        <v>0.841520039100684</v>
      </c>
      <c r="E11" s="54" t="n">
        <f aca="true">IF(NOT($K10),E10,IFERROR(STDEV(OFFSET($M10,-1*MAX($L10,N10),0):OFFSET($M10,0,0)),E10))</f>
        <v>0.145872475347251</v>
      </c>
      <c r="F11" s="7" t="n">
        <f aca="false">MAX(0,D11-3*SQRT(D11*(1-D11)/B11))</f>
        <v>0.676356444854224</v>
      </c>
      <c r="G11" s="6" t="n">
        <v>0.95</v>
      </c>
      <c r="H11" s="55" t="n">
        <f aca="false">(C11-D11)/E11</f>
        <v>0.7436629881071</v>
      </c>
      <c r="I11" s="55" t="n">
        <f aca="false">IF(P11="y",I10,IF(K10,0,MAX(0,I10+H11-0.5)))</f>
        <v>0.2436629881071</v>
      </c>
      <c r="J11" s="55" t="n">
        <f aca="false">IF(P11="y",J10,IF(K10,0,MAX(0,J10-H11+0.5)))</f>
        <v>1.71564499369266</v>
      </c>
      <c r="K11" s="56" t="n">
        <f aca="false" t="array" ref="K11:K11">IFERROR(OR(ABS(I11)&gt;=4, ABS(J11)&gt;=4),FALSE())</f>
        <v>0</v>
      </c>
      <c r="L11" s="5" t="n">
        <f aca="false">IF(K10,0,L10+1)</f>
        <v>3</v>
      </c>
      <c r="M11" s="7" t="n">
        <f aca="false">IF(P11="y","",C11)</f>
        <v>0.95</v>
      </c>
      <c r="N11" s="5" t="n">
        <f aca="false">MIN(5,N10+1)</f>
        <v>5</v>
      </c>
      <c r="O11" s="5" t="str">
        <f aca="false">IF(C11&gt;=G11,"Yes","No")</f>
        <v>Yes</v>
      </c>
      <c r="P11" s="57"/>
      <c r="R11" s="58" t="s">
        <v>51</v>
      </c>
      <c r="S11" s="69" t="n">
        <f aca="false">D36</f>
        <v>0.798939338009105</v>
      </c>
    </row>
    <row r="12" customFormat="false" ht="15" hidden="false" customHeight="true" outlineLevel="0" collapsed="false">
      <c r="A12" s="60" t="n">
        <f aca="false">'Raw-Data'!N27</f>
        <v>46198</v>
      </c>
      <c r="B12" s="61" t="n">
        <f aca="false">'Raw-Data'!O27</f>
        <v>46</v>
      </c>
      <c r="C12" s="62" t="n">
        <f aca="false">'Raw-Data'!P27</f>
        <v>0.809523809523809</v>
      </c>
      <c r="D12" s="62" t="n">
        <f aca="true">IF(NOT($K11),D11,AVERAGE(OFFSET($M11,-1*MAX($L11,N11),0):OFFSET($M11,0,0)))</f>
        <v>0.841520039100684</v>
      </c>
      <c r="E12" s="63" t="n">
        <f aca="true">IF(NOT($K11),E11,IFERROR(STDEV(OFFSET($M11,-1*MAX($L11,N11),0):OFFSET($M11,0,0)),E11))</f>
        <v>0.145872475347251</v>
      </c>
      <c r="F12" s="62" t="n">
        <f aca="false">MAX(0,D12-3*SQRT(D12*(1-D12)/B12))</f>
        <v>0.679986857287082</v>
      </c>
      <c r="G12" s="64" t="n">
        <v>0.95</v>
      </c>
      <c r="H12" s="65" t="n">
        <f aca="false">(C12-D12)/E12</f>
        <v>-0.219343844688366</v>
      </c>
      <c r="I12" s="65" t="n">
        <f aca="false">IF(P12="y",I11,IF(K11,0,MAX(0,I11+H12-0.5)))</f>
        <v>0</v>
      </c>
      <c r="J12" s="65" t="n">
        <f aca="false">IF(P12="y",J11,IF(K11,0,MAX(0,J11-H12+0.5)))</f>
        <v>2.43498883838102</v>
      </c>
      <c r="K12" s="61" t="n">
        <f aca="false" t="array" ref="K12:K12">IFERROR(OR(ABS(I12)&gt;=4, ABS(J12)&gt;=4),FALSE())</f>
        <v>0</v>
      </c>
      <c r="L12" s="61" t="n">
        <f aca="false">IF(K11,0,L11+1)</f>
        <v>4</v>
      </c>
      <c r="M12" s="62" t="n">
        <f aca="false">IF(P12="y","",C12)</f>
        <v>0.809523809523809</v>
      </c>
      <c r="N12" s="61" t="n">
        <f aca="false">MIN(5,N11+1)</f>
        <v>5</v>
      </c>
      <c r="O12" s="66" t="str">
        <f aca="false">IF(C12&gt;=G12,"Yes","No")</f>
        <v>No</v>
      </c>
      <c r="P12" s="57"/>
      <c r="R12" s="58" t="s">
        <v>52</v>
      </c>
      <c r="S12" s="69" t="n">
        <f aca="false">F36</f>
        <v>0.647453708237698</v>
      </c>
    </row>
    <row r="13" customFormat="false" ht="15" hidden="false" customHeight="true" outlineLevel="0" collapsed="false">
      <c r="A13" s="53" t="n">
        <f aca="false">'Raw-Data'!N26</f>
        <v>46199</v>
      </c>
      <c r="B13" s="5" t="n">
        <f aca="false">'Raw-Data'!O26</f>
        <v>48</v>
      </c>
      <c r="C13" s="7" t="n">
        <f aca="false">'Raw-Data'!P26</f>
        <v>0.931818181818181</v>
      </c>
      <c r="D13" s="7" t="n">
        <f aca="true">IF(NOT($K12),D12,AVERAGE(OFFSET($M12,-1*MAX($L12,N12),0):OFFSET($M12,0,0)))</f>
        <v>0.841520039100684</v>
      </c>
      <c r="E13" s="54" t="n">
        <f aca="true">IF(NOT($K12),E12,IFERROR(STDEV(OFFSET($M12,-1*MAX($L12,N12),0):OFFSET($M12,0,0)),E12))</f>
        <v>0.145872475347251</v>
      </c>
      <c r="F13" s="7" t="n">
        <f aca="false">MAX(0,D13-3*SQRT(D13*(1-D13)/B13))</f>
        <v>0.683387936754655</v>
      </c>
      <c r="G13" s="6" t="n">
        <v>0.95</v>
      </c>
      <c r="H13" s="55" t="n">
        <f aca="false">(C13-D13)/E13</f>
        <v>0.619021117606604</v>
      </c>
      <c r="I13" s="55" t="n">
        <f aca="false">IF(P13="y",I12,IF(K12,0,MAX(0,I12+H13-0.5)))</f>
        <v>0.119021117606604</v>
      </c>
      <c r="J13" s="55" t="n">
        <f aca="false">IF(P13="y",J12,IF(K12,0,MAX(0,J12-H13+0.5)))</f>
        <v>2.31596772077442</v>
      </c>
      <c r="K13" s="56" t="n">
        <f aca="false" t="array" ref="K13:K13">IFERROR(OR(ABS(I13)&gt;=4, ABS(J13)&gt;=4),FALSE())</f>
        <v>0</v>
      </c>
      <c r="L13" s="5" t="n">
        <f aca="false">IF(K12,0,L12+1)</f>
        <v>5</v>
      </c>
      <c r="M13" s="7" t="n">
        <f aca="false">IF(P13="y","",C13)</f>
        <v>0.931818181818181</v>
      </c>
      <c r="N13" s="5" t="n">
        <f aca="false">MIN(5,N12+1)</f>
        <v>5</v>
      </c>
      <c r="O13" s="5" t="str">
        <f aca="false">IF(C13&gt;=G13,"Yes","No")</f>
        <v>No</v>
      </c>
      <c r="P13" s="57"/>
    </row>
    <row r="14" customFormat="false" ht="15" hidden="false" customHeight="true" outlineLevel="0" collapsed="false">
      <c r="A14" s="60" t="n">
        <f aca="false">'Raw-Data'!N25</f>
        <v>46200</v>
      </c>
      <c r="B14" s="61" t="n">
        <f aca="false">'Raw-Data'!O25</f>
        <v>47</v>
      </c>
      <c r="C14" s="62" t="n">
        <f aca="false">'Raw-Data'!P25</f>
        <v>0.897435897435897</v>
      </c>
      <c r="D14" s="62" t="n">
        <f aca="true">IF(NOT($K13),D13,AVERAGE(OFFSET($M13,-1*MAX($L13,N13),0):OFFSET($M13,0,0)))</f>
        <v>0.841520039100684</v>
      </c>
      <c r="E14" s="63" t="n">
        <f aca="true">IF(NOT($K13),E13,IFERROR(STDEV(OFFSET($M13,-1*MAX($L13,N13),0):OFFSET($M13,0,0)),E13))</f>
        <v>0.145872475347251</v>
      </c>
      <c r="F14" s="62" t="n">
        <f aca="false">MAX(0,D14-3*SQRT(D14*(1-D14)/B14))</f>
        <v>0.681714534573089</v>
      </c>
      <c r="G14" s="64" t="n">
        <v>0.95</v>
      </c>
      <c r="H14" s="65" t="n">
        <f aca="false">(C14-D14)/E14</f>
        <v>0.38332014454478</v>
      </c>
      <c r="I14" s="65" t="n">
        <f aca="false">IF(P14="y",I13,IF(K13,0,MAX(0,I13+H14-0.5)))</f>
        <v>0.00234126215138342</v>
      </c>
      <c r="J14" s="65" t="n">
        <f aca="false">IF(P14="y",J13,IF(K13,0,MAX(0,J13-H14+0.5)))</f>
        <v>2.43264757622964</v>
      </c>
      <c r="K14" s="61" t="n">
        <f aca="false" t="array" ref="K14:K14">IFERROR(OR(ABS(I14)&gt;=4, ABS(J14)&gt;=4),FALSE())</f>
        <v>0</v>
      </c>
      <c r="L14" s="61" t="n">
        <f aca="false">IF(K13,0,L13+1)</f>
        <v>6</v>
      </c>
      <c r="M14" s="62" t="n">
        <f aca="false">IF(P14="y","",C14)</f>
        <v>0.897435897435897</v>
      </c>
      <c r="N14" s="61" t="n">
        <f aca="false">MIN(5,N13+1)</f>
        <v>5</v>
      </c>
      <c r="O14" s="66" t="str">
        <f aca="false">IF(C14&gt;=G14,"Yes","No")</f>
        <v>No</v>
      </c>
      <c r="P14" s="57"/>
    </row>
    <row r="15" customFormat="false" ht="15" hidden="false" customHeight="true" outlineLevel="0" collapsed="false">
      <c r="A15" s="53" t="n">
        <f aca="false">'Raw-Data'!N24</f>
        <v>46201</v>
      </c>
      <c r="B15" s="5" t="n">
        <f aca="false">'Raw-Data'!O24</f>
        <v>43</v>
      </c>
      <c r="C15" s="7" t="n">
        <f aca="false">'Raw-Data'!P24</f>
        <v>0.95</v>
      </c>
      <c r="D15" s="7" t="n">
        <f aca="true">IF(NOT($K14),D14,AVERAGE(OFFSET($M14,-1*MAX($L14,N14),0):OFFSET($M14,0,0)))</f>
        <v>0.841520039100684</v>
      </c>
      <c r="E15" s="54" t="n">
        <f aca="true">IF(NOT($K14),E14,IFERROR(STDEV(OFFSET($M14,-1*MAX($L14,N14),0):OFFSET($M14,0,0)),E14))</f>
        <v>0.145872475347251</v>
      </c>
      <c r="F15" s="7" t="n">
        <f aca="false">MAX(0,D15-3*SQRT(D15*(1-D15)/B15))</f>
        <v>0.674446975704999</v>
      </c>
      <c r="G15" s="6" t="n">
        <v>0.95</v>
      </c>
      <c r="H15" s="55" t="n">
        <f aca="false">(C15-D15)/E15</f>
        <v>0.7436629881071</v>
      </c>
      <c r="I15" s="55" t="n">
        <f aca="false">IF(P15="y",I14,IF(K14,0,MAX(0,I14+H15-0.5)))</f>
        <v>0.246004250258484</v>
      </c>
      <c r="J15" s="55" t="n">
        <f aca="false">IF(P15="y",J14,IF(K14,0,MAX(0,J14-H15+0.5)))</f>
        <v>2.18898458812254</v>
      </c>
      <c r="K15" s="56" t="n">
        <f aca="false" t="array" ref="K15:K15">IFERROR(OR(ABS(I15)&gt;=4, ABS(J15)&gt;=4),FALSE())</f>
        <v>0</v>
      </c>
      <c r="L15" s="5" t="n">
        <f aca="false">IF(K14,0,L14+1)</f>
        <v>7</v>
      </c>
      <c r="M15" s="7" t="n">
        <f aca="false">IF(P15="y","",C15)</f>
        <v>0.95</v>
      </c>
      <c r="N15" s="5" t="n">
        <f aca="false">MIN(5,N14+1)</f>
        <v>5</v>
      </c>
      <c r="O15" s="5" t="str">
        <f aca="false">IF(C15&gt;=G15,"Yes","No")</f>
        <v>Yes</v>
      </c>
      <c r="P15" s="57"/>
    </row>
    <row r="16" customFormat="false" ht="15" hidden="false" customHeight="true" outlineLevel="0" collapsed="false">
      <c r="A16" s="60" t="n">
        <f aca="false">'Raw-Data'!N23</f>
        <v>46202</v>
      </c>
      <c r="B16" s="61" t="n">
        <f aca="false">'Raw-Data'!O23</f>
        <v>36</v>
      </c>
      <c r="C16" s="62" t="n">
        <f aca="false">'Raw-Data'!P23</f>
        <v>0.735294117647058</v>
      </c>
      <c r="D16" s="62" t="n">
        <f aca="true">IF(NOT($K15),D15,AVERAGE(OFFSET($M15,-1*MAX($L15,N15),0):OFFSET($M15,0,0)))</f>
        <v>0.841520039100684</v>
      </c>
      <c r="E16" s="63" t="n">
        <f aca="true">IF(NOT($K15),E15,IFERROR(STDEV(OFFSET($M15,-1*MAX($L15,N15),0):OFFSET($M15,0,0)),E15))</f>
        <v>0.145872475347251</v>
      </c>
      <c r="F16" s="62" t="n">
        <f aca="false">MAX(0,D16-3*SQRT(D16*(1-D16)/B16))</f>
        <v>0.658924815386681</v>
      </c>
      <c r="G16" s="64" t="n">
        <v>0.95</v>
      </c>
      <c r="H16" s="65" t="n">
        <f aca="false">(C16-D16)/E16</f>
        <v>-0.728210865009002</v>
      </c>
      <c r="I16" s="65" t="n">
        <f aca="false">IF(P16="y",I15,IF(K15,0,MAX(0,I15+H16-0.5)))</f>
        <v>0</v>
      </c>
      <c r="J16" s="65" t="n">
        <f aca="false">IF(P16="y",J15,IF(K15,0,MAX(0,J15-H16+0.5)))</f>
        <v>3.41719545313154</v>
      </c>
      <c r="K16" s="61" t="n">
        <f aca="false" t="array" ref="K16:K16">IFERROR(OR(ABS(I16)&gt;=4, ABS(J16)&gt;=4),FALSE())</f>
        <v>0</v>
      </c>
      <c r="L16" s="61" t="n">
        <f aca="false">IF(K15,0,L15+1)</f>
        <v>8</v>
      </c>
      <c r="M16" s="62" t="n">
        <f aca="false">IF(P16="y","",C16)</f>
        <v>0.735294117647058</v>
      </c>
      <c r="N16" s="61" t="n">
        <f aca="false">MIN(5,N15+1)</f>
        <v>5</v>
      </c>
      <c r="O16" s="66" t="str">
        <f aca="false">IF(C16&gt;=G16,"Yes","No")</f>
        <v>No</v>
      </c>
      <c r="P16" s="57"/>
    </row>
    <row r="17" customFormat="false" ht="15" hidden="false" customHeight="true" outlineLevel="0" collapsed="false">
      <c r="A17" s="53" t="n">
        <f aca="false">'Raw-Data'!N22</f>
        <v>46203</v>
      </c>
      <c r="B17" s="5" t="n">
        <f aca="false">'Raw-Data'!O22</f>
        <v>63</v>
      </c>
      <c r="C17" s="7" t="n">
        <f aca="false">'Raw-Data'!P22</f>
        <v>0.944444444444444</v>
      </c>
      <c r="D17" s="7" t="n">
        <f aca="true">IF(NOT($K16),D16,AVERAGE(OFFSET($M16,-1*MAX($L16,N16),0):OFFSET($M16,0,0)))</f>
        <v>0.841520039100684</v>
      </c>
      <c r="E17" s="54" t="n">
        <f aca="true">IF(NOT($K16),E16,IFERROR(STDEV(OFFSET($M16,-1*MAX($L16,N16),0):OFFSET($M16,0,0)),E16))</f>
        <v>0.145872475347251</v>
      </c>
      <c r="F17" s="7" t="n">
        <f aca="false">MAX(0,D17-3*SQRT(D17*(1-D17)/B17))</f>
        <v>0.703491024090554</v>
      </c>
      <c r="G17" s="6" t="n">
        <v>0.95</v>
      </c>
      <c r="H17" s="55" t="n">
        <f aca="false">(C17-D17)/E17</f>
        <v>0.705577972120836</v>
      </c>
      <c r="I17" s="55" t="n">
        <f aca="false">IF(P17="y",I16,IF(K16,0,MAX(0,I16+H17-0.5)))</f>
        <v>0.205577972120836</v>
      </c>
      <c r="J17" s="55" t="n">
        <f aca="false">IF(P17="y",J16,IF(K16,0,MAX(0,J16-H17+0.5)))</f>
        <v>3.2116174810107</v>
      </c>
      <c r="K17" s="56" t="n">
        <f aca="false" t="array" ref="K17:K17">IFERROR(OR(ABS(I17)&gt;=4, ABS(J17)&gt;=4),FALSE())</f>
        <v>0</v>
      </c>
      <c r="L17" s="5" t="n">
        <f aca="false">IF(K16,0,L16+1)</f>
        <v>9</v>
      </c>
      <c r="M17" s="7" t="n">
        <f aca="false">IF(P17="y","",C17)</f>
        <v>0.944444444444444</v>
      </c>
      <c r="N17" s="5" t="n">
        <f aca="false">MIN(5,N16+1)</f>
        <v>5</v>
      </c>
      <c r="O17" s="5" t="str">
        <f aca="false">IF(C17&gt;=G17,"Yes","No")</f>
        <v>No</v>
      </c>
      <c r="P17" s="57"/>
    </row>
    <row r="18" customFormat="false" ht="15" hidden="false" customHeight="true" outlineLevel="0" collapsed="false">
      <c r="A18" s="60" t="n">
        <f aca="false">'Raw-Data'!N21</f>
        <v>46204</v>
      </c>
      <c r="B18" s="61" t="n">
        <f aca="false">'Raw-Data'!O21</f>
        <v>40</v>
      </c>
      <c r="C18" s="62" t="n">
        <f aca="false">'Raw-Data'!P21</f>
        <v>0.742857142857142</v>
      </c>
      <c r="D18" s="62" t="n">
        <f aca="true">IF(NOT($K17),D17,AVERAGE(OFFSET($M17,-1*MAX($L17,N17),0):OFFSET($M17,0,0)))</f>
        <v>0.841520039100684</v>
      </c>
      <c r="E18" s="63" t="n">
        <f aca="true">IF(NOT($K17),E17,IFERROR(STDEV(OFFSET($M17,-1*MAX($L17,N17),0):OFFSET($M17,0,0)),E17))</f>
        <v>0.145872475347251</v>
      </c>
      <c r="F18" s="62" t="n">
        <f aca="false">MAX(0,D18-3*SQRT(D18*(1-D18)/B18))</f>
        <v>0.668295000059412</v>
      </c>
      <c r="G18" s="64" t="n">
        <v>0.95</v>
      </c>
      <c r="H18" s="65" t="n">
        <f aca="false">(C18-D18)/E18</f>
        <v>-0.676364036523504</v>
      </c>
      <c r="I18" s="65" t="n">
        <f aca="false">IF(P18="y",I17,IF(K17,0,MAX(0,I17+H18-0.5)))</f>
        <v>0</v>
      </c>
      <c r="J18" s="65" t="n">
        <f aca="false">IF(P18="y",J17,IF(K17,0,MAX(0,J17-H18+0.5)))</f>
        <v>4.38798151753421</v>
      </c>
      <c r="K18" s="61" t="n">
        <f aca="false" t="array" ref="K18:K18">IFERROR(OR(ABS(I18)&gt;=4, ABS(J18)&gt;=4),FALSE())</f>
        <v>1</v>
      </c>
      <c r="L18" s="61" t="n">
        <f aca="false">IF(K17,0,L17+1)</f>
        <v>10</v>
      </c>
      <c r="M18" s="62" t="n">
        <f aca="false">IF(P18="y","",C18)</f>
        <v>0.742857142857142</v>
      </c>
      <c r="N18" s="61" t="n">
        <f aca="false">MIN(5,N17+1)</f>
        <v>5</v>
      </c>
      <c r="O18" s="66" t="str">
        <f aca="false">IF(C18&gt;=G18,"Yes","No")</f>
        <v>No</v>
      </c>
      <c r="P18" s="57"/>
    </row>
    <row r="19" customFormat="false" ht="15" hidden="false" customHeight="true" outlineLevel="0" collapsed="false">
      <c r="A19" s="53" t="n">
        <f aca="false">'Raw-Data'!N20</f>
        <v>46205</v>
      </c>
      <c r="B19" s="5" t="n">
        <f aca="false">'Raw-Data'!O20</f>
        <v>46</v>
      </c>
      <c r="C19" s="7" t="n">
        <f aca="false">'Raw-Data'!P20</f>
        <v>0.761904761904761</v>
      </c>
      <c r="D19" s="7" t="n">
        <f aca="true">IF(NOT($K18),D18,AVERAGE(OFFSET($M18,-1*MAX($L18,N18),0):OFFSET($M18,0,0)))</f>
        <v>0.86079661420801</v>
      </c>
      <c r="E19" s="54" t="n">
        <f aca="true">IF(NOT($K18),E18,IFERROR(STDEV(OFFSET($M18,-1*MAX($L18,N18),0):OFFSET($M18,0,0)),E18))</f>
        <v>0.0944222918767274</v>
      </c>
      <c r="F19" s="7" t="n">
        <f aca="false">MAX(0,D19-3*SQRT(D19*(1-D19)/B19))</f>
        <v>0.707681693699694</v>
      </c>
      <c r="G19" s="6" t="n">
        <v>0.95</v>
      </c>
      <c r="H19" s="55" t="n">
        <f aca="false">(C19-D19)/E19</f>
        <v>-1.04733586039573</v>
      </c>
      <c r="I19" s="55" t="n">
        <f aca="false">IF(P19="y",I18,IF(K18,0,MAX(0,I18+H19-0.5)))</f>
        <v>0</v>
      </c>
      <c r="J19" s="55" t="n">
        <f aca="false">IF(P19="y",J18,IF(K18,0,MAX(0,J18-H19+0.5)))</f>
        <v>0</v>
      </c>
      <c r="K19" s="56" t="n">
        <f aca="false" t="array" ref="K19:K19">IFERROR(OR(ABS(I19)&gt;=4, ABS(J19)&gt;=4),FALSE())</f>
        <v>0</v>
      </c>
      <c r="L19" s="5" t="n">
        <f aca="false">IF(K18,0,L18+1)</f>
        <v>0</v>
      </c>
      <c r="M19" s="7" t="n">
        <f aca="false">IF(P19="y","",C19)</f>
        <v>0.761904761904761</v>
      </c>
      <c r="N19" s="5" t="n">
        <f aca="false">MIN(5,N18+1)</f>
        <v>5</v>
      </c>
      <c r="O19" s="5" t="str">
        <f aca="false">IF(C19&gt;=G19,"Yes","No")</f>
        <v>No</v>
      </c>
      <c r="P19" s="57"/>
    </row>
    <row r="20" customFormat="false" ht="15" hidden="false" customHeight="true" outlineLevel="0" collapsed="false">
      <c r="A20" s="60" t="n">
        <f aca="false">'Raw-Data'!N19</f>
        <v>46206</v>
      </c>
      <c r="B20" s="61" t="n">
        <f aca="false">'Raw-Data'!O19</f>
        <v>48</v>
      </c>
      <c r="C20" s="62" t="n">
        <f aca="false">'Raw-Data'!P19</f>
        <v>0.69047619047619</v>
      </c>
      <c r="D20" s="62" t="n">
        <f aca="true">IF(NOT($K19),D19,AVERAGE(OFFSET($M19,-1*MAX($L19,N19),0):OFFSET($M19,0,0)))</f>
        <v>0.86079661420801</v>
      </c>
      <c r="E20" s="63" t="n">
        <f aca="true">IF(NOT($K19),E19,IFERROR(STDEV(OFFSET($M19,-1*MAX($L19,N19),0):OFFSET($M19,0,0)),E19))</f>
        <v>0.0944222918767274</v>
      </c>
      <c r="F20" s="62" t="n">
        <f aca="false">MAX(0,D20-3*SQRT(D20*(1-D20)/B20))</f>
        <v>0.710905526762802</v>
      </c>
      <c r="G20" s="64" t="n">
        <v>0.95</v>
      </c>
      <c r="H20" s="65" t="n">
        <f aca="false">(C20-D20)/E20</f>
        <v>-1.80381581877064</v>
      </c>
      <c r="I20" s="65" t="n">
        <f aca="false">IF(P20="y",I19,IF(K19,0,MAX(0,I19+H20-0.5)))</f>
        <v>0</v>
      </c>
      <c r="J20" s="65" t="n">
        <f aca="false">IF(P20="y",J19,IF(K19,0,MAX(0,J19-H20+0.5)))</f>
        <v>2.30381581877064</v>
      </c>
      <c r="K20" s="61" t="n">
        <f aca="false" t="array" ref="K20:K20">IFERROR(OR(ABS(I20)&gt;=4, ABS(J20)&gt;=4),FALSE())</f>
        <v>0</v>
      </c>
      <c r="L20" s="61" t="n">
        <f aca="false">IF(K19,0,L19+1)</f>
        <v>1</v>
      </c>
      <c r="M20" s="62" t="n">
        <f aca="false">IF(P20="y","",C20)</f>
        <v>0.69047619047619</v>
      </c>
      <c r="N20" s="61" t="n">
        <f aca="false">MIN(5,N19+1)</f>
        <v>5</v>
      </c>
      <c r="O20" s="66" t="str">
        <f aca="false">IF(C20&gt;=G20,"Yes","No")</f>
        <v>No</v>
      </c>
      <c r="P20" s="57"/>
    </row>
    <row r="21" customFormat="false" ht="15" hidden="false" customHeight="true" outlineLevel="0" collapsed="false">
      <c r="A21" s="53" t="n">
        <f aca="false">'Raw-Data'!N18</f>
        <v>46207</v>
      </c>
      <c r="B21" s="5" t="n">
        <f aca="false">'Raw-Data'!O18</f>
        <v>54</v>
      </c>
      <c r="C21" s="7" t="n">
        <f aca="false">'Raw-Data'!P18</f>
        <v>0.813953488372093</v>
      </c>
      <c r="D21" s="7" t="n">
        <f aca="true">IF(NOT($K20),D20,AVERAGE(OFFSET($M20,-1*MAX($L20,N20),0):OFFSET($M20,0,0)))</f>
        <v>0.86079661420801</v>
      </c>
      <c r="E21" s="54" t="n">
        <f aca="true">IF(NOT($K20),E20,IFERROR(STDEV(OFFSET($M20,-1*MAX($L20,N20),0):OFFSET($M20,0,0)),E20))</f>
        <v>0.0944222918767274</v>
      </c>
      <c r="F21" s="7" t="n">
        <f aca="false">MAX(0,D21-3*SQRT(D21*(1-D21)/B21))</f>
        <v>0.7194779417121</v>
      </c>
      <c r="G21" s="6" t="n">
        <v>0.95</v>
      </c>
      <c r="H21" s="55" t="n">
        <f aca="false">(C21-D21)/E21</f>
        <v>-0.496102402355077</v>
      </c>
      <c r="I21" s="55" t="n">
        <f aca="false">IF(P21="y",I20,IF(K20,0,MAX(0,I20+H21-0.5)))</f>
        <v>0</v>
      </c>
      <c r="J21" s="55" t="n">
        <f aca="false">IF(P21="y",J20,IF(K20,0,MAX(0,J20-H21+0.5)))</f>
        <v>3.29991822112572</v>
      </c>
      <c r="K21" s="56" t="n">
        <f aca="false" t="array" ref="K21:K21">IFERROR(OR(ABS(I21)&gt;=4, ABS(J21)&gt;=4),FALSE())</f>
        <v>0</v>
      </c>
      <c r="L21" s="5" t="n">
        <f aca="false">IF(K20,0,L20+1)</f>
        <v>2</v>
      </c>
      <c r="M21" s="7" t="n">
        <f aca="false">IF(P21="y","",C21)</f>
        <v>0.813953488372093</v>
      </c>
      <c r="N21" s="5" t="n">
        <f aca="false">MIN(5,N20+1)</f>
        <v>5</v>
      </c>
      <c r="O21" s="5" t="str">
        <f aca="false">IF(C21&gt;=G21,"Yes","No")</f>
        <v>No</v>
      </c>
      <c r="P21" s="57"/>
    </row>
    <row r="22" customFormat="false" ht="15" hidden="false" customHeight="true" outlineLevel="0" collapsed="false">
      <c r="A22" s="60" t="n">
        <f aca="false">'Raw-Data'!N17</f>
        <v>46208</v>
      </c>
      <c r="B22" s="61" t="n">
        <f aca="false">'Raw-Data'!O17</f>
        <v>57</v>
      </c>
      <c r="C22" s="62" t="n">
        <f aca="false">'Raw-Data'!P17</f>
        <v>0.84</v>
      </c>
      <c r="D22" s="62" t="n">
        <f aca="true">IF(NOT($K21),D21,AVERAGE(OFFSET($M21,-1*MAX($L21,N21),0):OFFSET($M21,0,0)))</f>
        <v>0.86079661420801</v>
      </c>
      <c r="E22" s="63" t="n">
        <f aca="true">IF(NOT($K21),E21,IFERROR(STDEV(OFFSET($M21,-1*MAX($L21,N21),0):OFFSET($M21,0,0)),E21))</f>
        <v>0.0944222918767274</v>
      </c>
      <c r="F22" s="62" t="n">
        <f aca="false">MAX(0,D22-3*SQRT(D22*(1-D22)/B22))</f>
        <v>0.723247118900414</v>
      </c>
      <c r="G22" s="64" t="n">
        <v>0.95</v>
      </c>
      <c r="H22" s="65" t="n">
        <f aca="false">(C22-D22)/E22</f>
        <v>-0.220251105905804</v>
      </c>
      <c r="I22" s="65" t="n">
        <f aca="false">IF(P22="y",I21,IF(K21,0,MAX(0,I21+H22-0.5)))</f>
        <v>0</v>
      </c>
      <c r="J22" s="65" t="n">
        <f aca="false">IF(P22="y",J21,IF(K21,0,MAX(0,J21-H22+0.5)))</f>
        <v>4.02016932703153</v>
      </c>
      <c r="K22" s="61" t="n">
        <f aca="false" t="array" ref="K22:K22">IFERROR(OR(ABS(I22)&gt;=4, ABS(J22)&gt;=4),FALSE())</f>
        <v>1</v>
      </c>
      <c r="L22" s="61" t="n">
        <f aca="false">IF(K21,0,L21+1)</f>
        <v>3</v>
      </c>
      <c r="M22" s="62" t="n">
        <f aca="false">IF(P22="y","",C22)</f>
        <v>0.84</v>
      </c>
      <c r="N22" s="61" t="n">
        <f aca="false">MIN(5,N21+1)</f>
        <v>5</v>
      </c>
      <c r="O22" s="66" t="str">
        <f aca="false">IF(C22&gt;=G22,"Yes","No")</f>
        <v>No</v>
      </c>
      <c r="P22" s="57"/>
    </row>
    <row r="23" customFormat="false" ht="15" hidden="false" customHeight="true" outlineLevel="0" collapsed="false">
      <c r="A23" s="53" t="n">
        <f aca="false">'Raw-Data'!N16</f>
        <v>46209</v>
      </c>
      <c r="B23" s="5" t="n">
        <f aca="false">'Raw-Data'!O16</f>
        <v>48</v>
      </c>
      <c r="C23" s="7" t="n">
        <f aca="false">'Raw-Data'!P16</f>
        <v>0.805555555555555</v>
      </c>
      <c r="D23" s="7" t="n">
        <f aca="true">IF(NOT($K22),D22,AVERAGE(OFFSET($M22,-1*MAX($L22,N22),0):OFFSET($M22,0,0)))</f>
        <v>0.798939338009105</v>
      </c>
      <c r="E23" s="54" t="n">
        <f aca="true">IF(NOT($K22),E22,IFERROR(STDEV(OFFSET($M22,-1*MAX($L22,N22),0):OFFSET($M22,0,0)),E22))</f>
        <v>0.0887289867924237</v>
      </c>
      <c r="F23" s="7" t="n">
        <f aca="false">MAX(0,D23-3*SQRT(D23*(1-D23)/B23))</f>
        <v>0.625390746727723</v>
      </c>
      <c r="G23" s="6" t="n">
        <v>0.95</v>
      </c>
      <c r="H23" s="55" t="n">
        <f aca="false">(C23-D23)/E23</f>
        <v>0.0745665851220446</v>
      </c>
      <c r="I23" s="55" t="n">
        <f aca="false">IF(P23="y",I22,IF(K22,0,MAX(0,I22+H23-0.5)))</f>
        <v>0</v>
      </c>
      <c r="J23" s="55" t="n">
        <f aca="false">IF(P23="y",J22,IF(K22,0,MAX(0,J22-H23+0.5)))</f>
        <v>0</v>
      </c>
      <c r="K23" s="56" t="n">
        <f aca="false" t="array" ref="K23:K23">IFERROR(OR(ABS(I23)&gt;=4, ABS(J23)&gt;=4),FALSE())</f>
        <v>0</v>
      </c>
      <c r="L23" s="5" t="n">
        <f aca="false">IF(K22,0,L22+1)</f>
        <v>0</v>
      </c>
      <c r="M23" s="7" t="n">
        <f aca="false">IF(P23="y","",C23)</f>
        <v>0.805555555555555</v>
      </c>
      <c r="N23" s="5" t="n">
        <f aca="false">MIN(5,N22+1)</f>
        <v>5</v>
      </c>
      <c r="O23" s="5" t="str">
        <f aca="false">IF(C23&gt;=G23,"Yes","No")</f>
        <v>No</v>
      </c>
      <c r="P23" s="57"/>
    </row>
    <row r="24" customFormat="false" ht="15" hidden="false" customHeight="true" outlineLevel="0" collapsed="false">
      <c r="A24" s="60" t="n">
        <f aca="false">'Raw-Data'!N15</f>
        <v>46210</v>
      </c>
      <c r="B24" s="61" t="n">
        <f aca="false">'Raw-Data'!O15</f>
        <v>41</v>
      </c>
      <c r="C24" s="62" t="n">
        <f aca="false">'Raw-Data'!P15</f>
        <v>0.8</v>
      </c>
      <c r="D24" s="62" t="n">
        <f aca="true">IF(NOT($K23),D23,AVERAGE(OFFSET($M23,-1*MAX($L23,N23),0):OFFSET($M23,0,0)))</f>
        <v>0.798939338009105</v>
      </c>
      <c r="E24" s="63" t="n">
        <f aca="true">IF(NOT($K23),E23,IFERROR(STDEV(OFFSET($M23,-1*MAX($L23,N23),0):OFFSET($M23,0,0)),E23))</f>
        <v>0.0887289867924237</v>
      </c>
      <c r="F24" s="62" t="n">
        <f aca="false">MAX(0,D24-3*SQRT(D24*(1-D24)/B24))</f>
        <v>0.611159144131828</v>
      </c>
      <c r="G24" s="64" t="n">
        <v>0.95</v>
      </c>
      <c r="H24" s="65" t="n">
        <f aca="false">(C24-D24)/E24</f>
        <v>0.0119539513437295</v>
      </c>
      <c r="I24" s="65" t="n">
        <f aca="false">IF(P24="y",I23,IF(K23,0,MAX(0,I23+H24-0.5)))</f>
        <v>0</v>
      </c>
      <c r="J24" s="65" t="n">
        <f aca="false">IF(P24="y",J23,IF(K23,0,MAX(0,J23-H24+0.5)))</f>
        <v>0.488046048656271</v>
      </c>
      <c r="K24" s="61" t="n">
        <f aca="false" t="array" ref="K24:K24">IFERROR(OR(ABS(I24)&gt;=4, ABS(J24)&gt;=4),FALSE())</f>
        <v>0</v>
      </c>
      <c r="L24" s="61" t="n">
        <f aca="false">IF(K23,0,L23+1)</f>
        <v>1</v>
      </c>
      <c r="M24" s="62" t="n">
        <f aca="false">IF(P24="y","",C24)</f>
        <v>0.8</v>
      </c>
      <c r="N24" s="61" t="n">
        <f aca="false">MIN(5,N23+1)</f>
        <v>5</v>
      </c>
      <c r="O24" s="66" t="str">
        <f aca="false">IF(C24&gt;=G24,"Yes","No")</f>
        <v>No</v>
      </c>
      <c r="P24" s="57"/>
    </row>
    <row r="25" customFormat="false" ht="15" hidden="false" customHeight="true" outlineLevel="0" collapsed="false">
      <c r="A25" s="53" t="n">
        <f aca="false">'Raw-Data'!N14</f>
        <v>46211</v>
      </c>
      <c r="B25" s="5" t="n">
        <f aca="false">'Raw-Data'!O14</f>
        <v>52</v>
      </c>
      <c r="C25" s="7" t="n">
        <f aca="false">'Raw-Data'!P14</f>
        <v>0.725</v>
      </c>
      <c r="D25" s="7" t="n">
        <f aca="true">IF(NOT($K24),D24,AVERAGE(OFFSET($M24,-1*MAX($L24,N24),0):OFFSET($M24,0,0)))</f>
        <v>0.798939338009105</v>
      </c>
      <c r="E25" s="54" t="n">
        <f aca="true">IF(NOT($K24),E24,IFERROR(STDEV(OFFSET($M24,-1*MAX($L24,N24),0):OFFSET($M24,0,0)),E24))</f>
        <v>0.0887289867924237</v>
      </c>
      <c r="F25" s="7" t="n">
        <f aca="false">MAX(0,D25-3*SQRT(D25*(1-D25)/B25))</f>
        <v>0.632199244904937</v>
      </c>
      <c r="G25" s="6" t="n">
        <v>0.95</v>
      </c>
      <c r="H25" s="55" t="n">
        <f aca="false">(C25-D25)/E25</f>
        <v>-0.833316604663613</v>
      </c>
      <c r="I25" s="55" t="n">
        <f aca="false">IF(P25="y",I24,IF(K24,0,MAX(0,I24+H25-0.5)))</f>
        <v>0</v>
      </c>
      <c r="J25" s="55" t="n">
        <f aca="false">IF(P25="y",J24,IF(K24,0,MAX(0,J24-H25+0.5)))</f>
        <v>1.82136265331988</v>
      </c>
      <c r="K25" s="56" t="n">
        <f aca="false" t="array" ref="K25:K25">IFERROR(OR(ABS(I25)&gt;=4, ABS(J25)&gt;=4),FALSE())</f>
        <v>0</v>
      </c>
      <c r="L25" s="5" t="n">
        <f aca="false">IF(K24,0,L24+1)</f>
        <v>2</v>
      </c>
      <c r="M25" s="7" t="n">
        <f aca="false">IF(P25="y","",C25)</f>
        <v>0.725</v>
      </c>
      <c r="N25" s="5" t="n">
        <f aca="false">MIN(5,N24+1)</f>
        <v>5</v>
      </c>
      <c r="O25" s="5" t="str">
        <f aca="false">IF(C25&gt;=G25,"Yes","No")</f>
        <v>No</v>
      </c>
      <c r="P25" s="57"/>
    </row>
    <row r="26" customFormat="false" ht="15" hidden="false" customHeight="true" outlineLevel="0" collapsed="false">
      <c r="A26" s="60" t="n">
        <f aca="false">'Raw-Data'!N13</f>
        <v>46212</v>
      </c>
      <c r="B26" s="61" t="n">
        <f aca="false">'Raw-Data'!O13</f>
        <v>38</v>
      </c>
      <c r="C26" s="62" t="n">
        <f aca="false">'Raw-Data'!P13</f>
        <v>0.941176470588235</v>
      </c>
      <c r="D26" s="62" t="n">
        <f aca="true">IF(NOT($K25),D25,AVERAGE(OFFSET($M25,-1*MAX($L25,N25),0):OFFSET($M25,0,0)))</f>
        <v>0.798939338009105</v>
      </c>
      <c r="E26" s="63" t="n">
        <f aca="true">IF(NOT($K25),E25,IFERROR(STDEV(OFFSET($M25,-1*MAX($L25,N25),0):OFFSET($M25,0,0)),E25))</f>
        <v>0.0887289867924237</v>
      </c>
      <c r="F26" s="62" t="n">
        <f aca="false">MAX(0,D26-3*SQRT(D26*(1-D26)/B26))</f>
        <v>0.603887560152146</v>
      </c>
      <c r="G26" s="64" t="n">
        <v>0.95</v>
      </c>
      <c r="H26" s="65" t="n">
        <f aca="false">(C26-D26)/E26</f>
        <v>1.60305146853402</v>
      </c>
      <c r="I26" s="65" t="n">
        <f aca="false">IF(P26="y",I25,IF(K25,0,MAX(0,I25+H26-0.5)))</f>
        <v>1.10305146853402</v>
      </c>
      <c r="J26" s="65" t="n">
        <f aca="false">IF(P26="y",J25,IF(K25,0,MAX(0,J25-H26+0.5)))</f>
        <v>0.718311184785868</v>
      </c>
      <c r="K26" s="61" t="n">
        <f aca="false" t="array" ref="K26:K26">IFERROR(OR(ABS(I26)&gt;=4, ABS(J26)&gt;=4),FALSE())</f>
        <v>0</v>
      </c>
      <c r="L26" s="61" t="n">
        <f aca="false">IF(K25,0,L25+1)</f>
        <v>3</v>
      </c>
      <c r="M26" s="62" t="n">
        <f aca="false">IF(P26="y","",C26)</f>
        <v>0.941176470588235</v>
      </c>
      <c r="N26" s="61" t="n">
        <f aca="false">MIN(5,N25+1)</f>
        <v>5</v>
      </c>
      <c r="O26" s="66" t="str">
        <f aca="false">IF(C26&gt;=G26,"Yes","No")</f>
        <v>No</v>
      </c>
      <c r="P26" s="57"/>
    </row>
    <row r="27" customFormat="false" ht="15" hidden="false" customHeight="true" outlineLevel="0" collapsed="false">
      <c r="A27" s="53" t="n">
        <f aca="false">'Raw-Data'!N12</f>
        <v>46213</v>
      </c>
      <c r="B27" s="5" t="n">
        <f aca="false">'Raw-Data'!O12</f>
        <v>42</v>
      </c>
      <c r="C27" s="7" t="n">
        <f aca="false">'Raw-Data'!P12</f>
        <v>0.891891891891891</v>
      </c>
      <c r="D27" s="7" t="n">
        <f aca="true">IF(NOT($K26),D26,AVERAGE(OFFSET($M26,-1*MAX($L26,N26),0):OFFSET($M26,0,0)))</f>
        <v>0.798939338009105</v>
      </c>
      <c r="E27" s="54" t="n">
        <f aca="true">IF(NOT($K26),E26,IFERROR(STDEV(OFFSET($M26,-1*MAX($L26,N26),0):OFFSET($M26,0,0)),E26))</f>
        <v>0.0887289867924237</v>
      </c>
      <c r="F27" s="7" t="n">
        <f aca="false">MAX(0,D27-3*SQRT(D27*(1-D27)/B27))</f>
        <v>0.61340808985705</v>
      </c>
      <c r="G27" s="6" t="n">
        <v>0.95</v>
      </c>
      <c r="H27" s="55" t="n">
        <f aca="false">(C27-D27)/E27</f>
        <v>1.04760075870407</v>
      </c>
      <c r="I27" s="55" t="n">
        <f aca="false">IF(P27="y",I26,IF(K26,0,MAX(0,I26+H27-0.5)))</f>
        <v>1.65065222723808</v>
      </c>
      <c r="J27" s="55" t="n">
        <f aca="false">IF(P27="y",J26,IF(K26,0,MAX(0,J26-H27+0.5)))</f>
        <v>0.170710426081803</v>
      </c>
      <c r="K27" s="56" t="n">
        <f aca="false" t="array" ref="K27:K27">IFERROR(OR(ABS(I27)&gt;=4, ABS(J27)&gt;=4),FALSE())</f>
        <v>0</v>
      </c>
      <c r="L27" s="5" t="n">
        <f aca="false">IF(K26,0,L26+1)</f>
        <v>4</v>
      </c>
      <c r="M27" s="7" t="n">
        <f aca="false">IF(P27="y","",C27)</f>
        <v>0.891891891891891</v>
      </c>
      <c r="N27" s="5" t="n">
        <f aca="false">MIN(5,N26+1)</f>
        <v>5</v>
      </c>
      <c r="O27" s="5" t="str">
        <f aca="false">IF(C27&gt;=G27,"Yes","No")</f>
        <v>No</v>
      </c>
      <c r="P27" s="57"/>
    </row>
    <row r="28" customFormat="false" ht="15" hidden="false" customHeight="true" outlineLevel="0" collapsed="false">
      <c r="A28" s="60" t="n">
        <f aca="false">'Raw-Data'!N11</f>
        <v>46214</v>
      </c>
      <c r="B28" s="61" t="n">
        <f aca="false">'Raw-Data'!O11</f>
        <v>48</v>
      </c>
      <c r="C28" s="62" t="n">
        <f aca="false">'Raw-Data'!P11</f>
        <v>1</v>
      </c>
      <c r="D28" s="62" t="n">
        <f aca="true">IF(NOT($K27),D27,AVERAGE(OFFSET($M27,-1*MAX($L27,N27),0):OFFSET($M27,0,0)))</f>
        <v>0.798939338009105</v>
      </c>
      <c r="E28" s="63" t="n">
        <f aca="true">IF(NOT($K27),E27,IFERROR(STDEV(OFFSET($M27,-1*MAX($L27,N27),0):OFFSET($M27,0,0)),E27))</f>
        <v>0.0887289867924237</v>
      </c>
      <c r="F28" s="62" t="n">
        <f aca="false">MAX(0,D28-3*SQRT(D28*(1-D28)/B28))</f>
        <v>0.625390746727723</v>
      </c>
      <c r="G28" s="64" t="n">
        <v>0.95</v>
      </c>
      <c r="H28" s="65" t="n">
        <f aca="false">(C28-D28)/E28</f>
        <v>2.26600876736331</v>
      </c>
      <c r="I28" s="65" t="n">
        <f aca="false">IF(P28="y",I27,IF(K27,0,MAX(0,I27+H28-0.5)))</f>
        <v>3.41666099460139</v>
      </c>
      <c r="J28" s="65" t="n">
        <f aca="false">IF(P28="y",J27,IF(K27,0,MAX(0,J27-H28+0.5)))</f>
        <v>0</v>
      </c>
      <c r="K28" s="61" t="n">
        <f aca="false" t="array" ref="K28:K28">IFERROR(OR(ABS(I28)&gt;=4, ABS(J28)&gt;=4),FALSE())</f>
        <v>0</v>
      </c>
      <c r="L28" s="61" t="n">
        <f aca="false">IF(K27,0,L27+1)</f>
        <v>5</v>
      </c>
      <c r="M28" s="62" t="n">
        <f aca="false">IF(P28="y","",C28)</f>
        <v>1</v>
      </c>
      <c r="N28" s="61" t="n">
        <f aca="false">MIN(5,N27+1)</f>
        <v>5</v>
      </c>
      <c r="O28" s="66" t="str">
        <f aca="false">IF(C28&gt;=G28,"Yes","No")</f>
        <v>Yes</v>
      </c>
      <c r="P28" s="57"/>
    </row>
    <row r="29" customFormat="false" ht="15" hidden="false" customHeight="true" outlineLevel="0" collapsed="false">
      <c r="A29" s="53" t="n">
        <f aca="false">'Raw-Data'!N10</f>
        <v>46215</v>
      </c>
      <c r="B29" s="5" t="n">
        <f aca="false">'Raw-Data'!O10</f>
        <v>45</v>
      </c>
      <c r="C29" s="7" t="n">
        <f aca="false">'Raw-Data'!P10</f>
        <v>0.756097560975609</v>
      </c>
      <c r="D29" s="7" t="n">
        <f aca="true">IF(NOT($K28),D28,AVERAGE(OFFSET($M28,-1*MAX($L28,N28),0):OFFSET($M28,0,0)))</f>
        <v>0.798939338009105</v>
      </c>
      <c r="E29" s="54" t="n">
        <f aca="true">IF(NOT($K28),E28,IFERROR(STDEV(OFFSET($M28,-1*MAX($L28,N28),0):OFFSET($M28,0,0)),E28))</f>
        <v>0.0887289867924237</v>
      </c>
      <c r="F29" s="7" t="n">
        <f aca="false">MAX(0,D29-3*SQRT(D29*(1-D29)/B29))</f>
        <v>0.619699123664958</v>
      </c>
      <c r="G29" s="6" t="n">
        <v>0.95</v>
      </c>
      <c r="H29" s="55" t="n">
        <f aca="false">(C29-D29)/E29</f>
        <v>-0.482838569245943</v>
      </c>
      <c r="I29" s="55" t="n">
        <f aca="false">IF(P29="y",I28,IF(K28,0,MAX(0,I28+H29-0.5)))</f>
        <v>2.43382242535544</v>
      </c>
      <c r="J29" s="55" t="n">
        <f aca="false">IF(P29="y",J28,IF(K28,0,MAX(0,J28-H29+0.5)))</f>
        <v>0.982838569245943</v>
      </c>
      <c r="K29" s="56" t="n">
        <f aca="false" t="array" ref="K29:K29">IFERROR(OR(ABS(I29)&gt;=4, ABS(J29)&gt;=4),FALSE())</f>
        <v>0</v>
      </c>
      <c r="L29" s="5" t="n">
        <f aca="false">IF(K28,0,L28+1)</f>
        <v>6</v>
      </c>
      <c r="M29" s="7" t="n">
        <f aca="false">IF(P29="y","",C29)</f>
        <v>0.756097560975609</v>
      </c>
      <c r="N29" s="5" t="n">
        <f aca="false">MIN(5,N28+1)</f>
        <v>5</v>
      </c>
      <c r="O29" s="5" t="str">
        <f aca="false">IF(C29&gt;=G29,"Yes","No")</f>
        <v>No</v>
      </c>
      <c r="P29" s="57"/>
    </row>
    <row r="30" customFormat="false" ht="15" hidden="false" customHeight="true" outlineLevel="0" collapsed="false">
      <c r="A30" s="60" t="n">
        <f aca="false">'Raw-Data'!N9</f>
        <v>46216</v>
      </c>
      <c r="B30" s="61" t="n">
        <f aca="false">'Raw-Data'!O9</f>
        <v>60</v>
      </c>
      <c r="C30" s="62" t="n">
        <f aca="false">'Raw-Data'!P9</f>
        <v>0.901960784313725</v>
      </c>
      <c r="D30" s="62" t="n">
        <f aca="true">IF(NOT($K29),D29,AVERAGE(OFFSET($M29,-1*MAX($L29,N29),0):OFFSET($M29,0,0)))</f>
        <v>0.798939338009105</v>
      </c>
      <c r="E30" s="63" t="n">
        <f aca="true">IF(NOT($K29),E29,IFERROR(STDEV(OFFSET($M29,-1*MAX($L29,N29),0):OFFSET($M29,0,0)),E29))</f>
        <v>0.0887289867924237</v>
      </c>
      <c r="F30" s="62" t="n">
        <f aca="false">MAX(0,D30-3*SQRT(D30*(1-D30)/B30))</f>
        <v>0.643712759007306</v>
      </c>
      <c r="G30" s="64" t="n">
        <v>0.95</v>
      </c>
      <c r="H30" s="65" t="n">
        <f aca="false">(C30-D30)/E30</f>
        <v>1.16107993598115</v>
      </c>
      <c r="I30" s="65" t="n">
        <f aca="false">IF(P30="y",I29,IF(K29,0,MAX(0,I29+H30-0.5)))</f>
        <v>3.0949023613366</v>
      </c>
      <c r="J30" s="65" t="n">
        <f aca="false">IF(P30="y",J29,IF(K29,0,MAX(0,J29-H30+0.5)))</f>
        <v>0.321758633264788</v>
      </c>
      <c r="K30" s="61" t="n">
        <f aca="false" t="array" ref="K30:K30">IFERROR(OR(ABS(I30)&gt;=4, ABS(J30)&gt;=4),FALSE())</f>
        <v>0</v>
      </c>
      <c r="L30" s="61" t="n">
        <f aca="false">IF(K29,0,L29+1)</f>
        <v>7</v>
      </c>
      <c r="M30" s="62" t="n">
        <f aca="false">IF(P30="y","",C30)</f>
        <v>0.901960784313725</v>
      </c>
      <c r="N30" s="61" t="n">
        <f aca="false">MIN(5,N29+1)</f>
        <v>5</v>
      </c>
      <c r="O30" s="66" t="str">
        <f aca="false">IF(C30&gt;=G30,"Yes","No")</f>
        <v>No</v>
      </c>
      <c r="P30" s="57"/>
    </row>
    <row r="31" customFormat="false" ht="15" hidden="false" customHeight="true" outlineLevel="0" collapsed="false">
      <c r="A31" s="53" t="n">
        <f aca="false">'Raw-Data'!N8</f>
        <v>46217</v>
      </c>
      <c r="B31" s="5" t="n">
        <f aca="false">'Raw-Data'!O8</f>
        <v>54</v>
      </c>
      <c r="C31" s="7" t="n">
        <f aca="false">'Raw-Data'!P8</f>
        <v>0.795454545454545</v>
      </c>
      <c r="D31" s="7" t="n">
        <f aca="true">IF(NOT($K30),D30,AVERAGE(OFFSET($M30,-1*MAX($L30,N30),0):OFFSET($M30,0,0)))</f>
        <v>0.798939338009105</v>
      </c>
      <c r="E31" s="54" t="n">
        <f aca="true">IF(NOT($K30),E30,IFERROR(STDEV(OFFSET($M30,-1*MAX($L30,N30),0):OFFSET($M30,0,0)),E30))</f>
        <v>0.0887289867924237</v>
      </c>
      <c r="F31" s="7" t="n">
        <f aca="false">MAX(0,D31-3*SQRT(D31*(1-D31)/B31))</f>
        <v>0.635316156995188</v>
      </c>
      <c r="G31" s="6" t="n">
        <v>0.95</v>
      </c>
      <c r="H31" s="55" t="n">
        <f aca="false">(C31-D31)/E31</f>
        <v>-0.0392745672021759</v>
      </c>
      <c r="I31" s="55" t="n">
        <f aca="false">IF(P31="y",I30,IF(K30,0,MAX(0,I30+H31-0.5)))</f>
        <v>2.55562779413442</v>
      </c>
      <c r="J31" s="55" t="n">
        <f aca="false">IF(P31="y",J30,IF(K30,0,MAX(0,J30-H31+0.5)))</f>
        <v>0.861033200466964</v>
      </c>
      <c r="K31" s="56" t="n">
        <f aca="false" t="array" ref="K31:K31">IFERROR(OR(ABS(I31)&gt;=4, ABS(J31)&gt;=4),FALSE())</f>
        <v>0</v>
      </c>
      <c r="L31" s="5" t="n">
        <f aca="false">IF(K30,0,L30+1)</f>
        <v>8</v>
      </c>
      <c r="M31" s="7" t="n">
        <f aca="false">IF(P31="y","",C31)</f>
        <v>0.795454545454545</v>
      </c>
      <c r="N31" s="5" t="n">
        <f aca="false">MIN(5,N30+1)</f>
        <v>5</v>
      </c>
      <c r="O31" s="5" t="str">
        <f aca="false">IF(C31&gt;=G31,"Yes","No")</f>
        <v>No</v>
      </c>
      <c r="P31" s="57"/>
    </row>
    <row r="32" customFormat="false" ht="15" hidden="false" customHeight="true" outlineLevel="0" collapsed="false">
      <c r="A32" s="60" t="n">
        <f aca="false">'Raw-Data'!N7</f>
        <v>46218</v>
      </c>
      <c r="B32" s="61" t="n">
        <f aca="false">'Raw-Data'!O7</f>
        <v>66</v>
      </c>
      <c r="C32" s="62" t="n">
        <f aca="false">'Raw-Data'!P7</f>
        <v>0.7222</v>
      </c>
      <c r="D32" s="62" t="n">
        <f aca="true">IF(NOT($K31),D31,AVERAGE(OFFSET($M31,-1*MAX($L31,N31),0):OFFSET($M31,0,0)))</f>
        <v>0.798939338009105</v>
      </c>
      <c r="E32" s="63" t="n">
        <f aca="true">IF(NOT($K31),E31,IFERROR(STDEV(OFFSET($M31,-1*MAX($L31,N31),0):OFFSET($M31,0,0)),E31))</f>
        <v>0.0887289867924237</v>
      </c>
      <c r="F32" s="62" t="n">
        <f aca="false">MAX(0,D32-3*SQRT(D32*(1-D32)/B32))</f>
        <v>0.650936602074314</v>
      </c>
      <c r="G32" s="64" t="n">
        <v>0.95</v>
      </c>
      <c r="H32" s="65" t="n">
        <f aca="false">(C32-D32)/E32</f>
        <v>-0.864873372087887</v>
      </c>
      <c r="I32" s="65" t="n">
        <f aca="false">IF(P32="y",I31,IF(K31,0,MAX(0,I31+H32-0.5)))</f>
        <v>1.19075442204654</v>
      </c>
      <c r="J32" s="65" t="n">
        <f aca="false">IF(P32="y",J31,IF(K31,0,MAX(0,J31-H32+0.5)))</f>
        <v>2.22590657255485</v>
      </c>
      <c r="K32" s="61" t="n">
        <f aca="false" t="array" ref="K32:K32">IFERROR(OR(ABS(I32)&gt;=4, ABS(J32)&gt;=4),FALSE())</f>
        <v>0</v>
      </c>
      <c r="L32" s="61" t="n">
        <f aca="false">IF(K31,0,L31+1)</f>
        <v>9</v>
      </c>
      <c r="M32" s="62" t="n">
        <f aca="false">IF(P32="y","",C32)</f>
        <v>0.7222</v>
      </c>
      <c r="N32" s="61" t="n">
        <f aca="false">MIN(5,N31+1)</f>
        <v>5</v>
      </c>
      <c r="O32" s="66" t="str">
        <f aca="false">IF(C32&gt;=G32,"Yes","No")</f>
        <v>No</v>
      </c>
      <c r="P32" s="57"/>
    </row>
    <row r="33" customFormat="false" ht="15" hidden="false" customHeight="true" outlineLevel="0" collapsed="false">
      <c r="A33" s="53" t="n">
        <f aca="false">'Raw-Data'!N6</f>
        <v>46219</v>
      </c>
      <c r="B33" s="5" t="n">
        <f aca="false">'Raw-Data'!O6</f>
        <v>54</v>
      </c>
      <c r="C33" s="7" t="n">
        <f aca="false">'Raw-Data'!P6</f>
        <v>0.7209</v>
      </c>
      <c r="D33" s="7" t="n">
        <f aca="true">IF(NOT($K32),D32,AVERAGE(OFFSET($M32,-1*MAX($L32,N32),0):OFFSET($M32,0,0)))</f>
        <v>0.798939338009105</v>
      </c>
      <c r="E33" s="54" t="n">
        <f aca="true">IF(NOT($K32),E32,IFERROR(STDEV(OFFSET($M32,-1*MAX($L32,N32),0):OFFSET($M32,0,0)),E32))</f>
        <v>0.0887289867924237</v>
      </c>
      <c r="F33" s="7" t="n">
        <f aca="false">MAX(0,D33-3*SQRT(D33*(1-D33)/B33))</f>
        <v>0.635316156995188</v>
      </c>
      <c r="G33" s="6" t="n">
        <v>0.95</v>
      </c>
      <c r="H33" s="55" t="n">
        <f aca="false">(C33-D33)/E33</f>
        <v>-0.879524728392014</v>
      </c>
      <c r="I33" s="55" t="n">
        <f aca="false">IF(P33="y",I32,IF(K32,0,MAX(0,I32+H33-0.5)))</f>
        <v>0</v>
      </c>
      <c r="J33" s="55" t="n">
        <f aca="false">IF(P33="y",J32,IF(K32,0,MAX(0,J32-H33+0.5)))</f>
        <v>3.60543130094687</v>
      </c>
      <c r="K33" s="56" t="n">
        <f aca="false" t="array" ref="K33:K33">IFERROR(OR(ABS(I33)&gt;=4, ABS(J33)&gt;=4),FALSE())</f>
        <v>0</v>
      </c>
      <c r="L33" s="5" t="n">
        <f aca="false">IF(K32,0,L32+1)</f>
        <v>10</v>
      </c>
      <c r="M33" s="7" t="n">
        <f aca="false">IF(P33="y","",C33)</f>
        <v>0.7209</v>
      </c>
      <c r="N33" s="5" t="n">
        <f aca="false">MIN(5,N32+1)</f>
        <v>5</v>
      </c>
      <c r="O33" s="5" t="str">
        <f aca="false">IF(C33&gt;=G33,"Yes","No")</f>
        <v>No</v>
      </c>
      <c r="P33" s="57"/>
    </row>
    <row r="34" customFormat="false" ht="15" hidden="false" customHeight="true" outlineLevel="0" collapsed="false">
      <c r="A34" s="60" t="n">
        <f aca="false">'Raw-Data'!N5</f>
        <v>46220</v>
      </c>
      <c r="B34" s="61" t="n">
        <f aca="false">'Raw-Data'!O5</f>
        <v>49</v>
      </c>
      <c r="C34" s="62" t="n">
        <f aca="false">'Raw-Data'!P5</f>
        <v>1</v>
      </c>
      <c r="D34" s="62" t="n">
        <f aca="true">IF(NOT($K33),D33,AVERAGE(OFFSET($M33,-1*MAX($L33,N33),0):OFFSET($M33,0,0)))</f>
        <v>0.798939338009105</v>
      </c>
      <c r="E34" s="63" t="n">
        <f aca="true">IF(NOT($K33),E33,IFERROR(STDEV(OFFSET($M33,-1*MAX($L33,N33),0):OFFSET($M33,0,0)),E33))</f>
        <v>0.0887289867924237</v>
      </c>
      <c r="F34" s="62" t="n">
        <f aca="false">MAX(0,D34-3*SQRT(D34*(1-D34)/B34))</f>
        <v>0.627170779334043</v>
      </c>
      <c r="G34" s="64" t="n">
        <v>0.95</v>
      </c>
      <c r="H34" s="65" t="n">
        <f aca="false">(C34-D34)/E34</f>
        <v>2.26600876736331</v>
      </c>
      <c r="I34" s="65" t="n">
        <f aca="false">IF(P34="y",I33,IF(K33,0,MAX(0,I33+H34-0.5)))</f>
        <v>1.76600876736331</v>
      </c>
      <c r="J34" s="65" t="n">
        <f aca="false">IF(P34="y",J33,IF(K33,0,MAX(0,J33-H34+0.5)))</f>
        <v>1.83942253358356</v>
      </c>
      <c r="K34" s="61" t="n">
        <f aca="false" t="array" ref="K34:K34">IFERROR(OR(ABS(I34)&gt;=4, ABS(J34)&gt;=4),FALSE())</f>
        <v>0</v>
      </c>
      <c r="L34" s="61" t="n">
        <f aca="false">IF(K33,0,L33+1)</f>
        <v>11</v>
      </c>
      <c r="M34" s="62" t="n">
        <f aca="false">IF(P34="y","",C34)</f>
        <v>1</v>
      </c>
      <c r="N34" s="61" t="n">
        <f aca="false">MIN(5,N33+1)</f>
        <v>5</v>
      </c>
      <c r="O34" s="66" t="str">
        <f aca="false">IF(C34&gt;=G34,"Yes","No")</f>
        <v>Yes</v>
      </c>
      <c r="P34" s="57"/>
    </row>
    <row r="35" customFormat="false" ht="15" hidden="false" customHeight="true" outlineLevel="0" collapsed="false">
      <c r="A35" s="53" t="n">
        <f aca="false">'Raw-Data'!N4</f>
        <v>46221</v>
      </c>
      <c r="B35" s="5" t="n">
        <f aca="false">'Raw-Data'!O4</f>
        <v>58</v>
      </c>
      <c r="C35" s="7" t="n">
        <f aca="false">'Raw-Data'!P4</f>
        <v>0.898</v>
      </c>
      <c r="D35" s="7" t="n">
        <f aca="true">IF(NOT($K34),D34,AVERAGE(OFFSET($M34,-1*MAX($L34,N34),0):OFFSET($M34,0,0)))</f>
        <v>0.798939338009105</v>
      </c>
      <c r="E35" s="54" t="n">
        <f aca="true">IF(NOT($K34),E34,IFERROR(STDEV(OFFSET($M34,-1*MAX($L34,N34),0):OFFSET($M34,0,0)),E34))</f>
        <v>0.0887289867924237</v>
      </c>
      <c r="F35" s="7" t="n">
        <f aca="false">MAX(0,D35-3*SQRT(D35*(1-D35)/B35))</f>
        <v>0.641059120989557</v>
      </c>
      <c r="G35" s="6" t="n">
        <v>0.95</v>
      </c>
      <c r="H35" s="55" t="n">
        <f aca="false">(C35-D35)/E35</f>
        <v>1.11644081119332</v>
      </c>
      <c r="I35" s="55" t="n">
        <f aca="false">IF(P35="y",I34,IF(K34,0,MAX(0,I34+H35-0.5)))</f>
        <v>2.38244957855663</v>
      </c>
      <c r="J35" s="55" t="n">
        <f aca="false">IF(P35="y",J34,IF(K34,0,MAX(0,J34-H35+0.5)))</f>
        <v>1.22298172239024</v>
      </c>
      <c r="K35" s="56" t="n">
        <f aca="false" t="array" ref="K35:K35">IFERROR(OR(ABS(I35)&gt;=4, ABS(J35)&gt;=4),FALSE())</f>
        <v>0</v>
      </c>
      <c r="L35" s="5" t="n">
        <f aca="false">IF(K34,0,L34+1)</f>
        <v>12</v>
      </c>
      <c r="M35" s="7" t="n">
        <f aca="false">IF(P35="y","",C35)</f>
        <v>0.898</v>
      </c>
      <c r="N35" s="5" t="n">
        <f aca="false">MIN(5,N34+1)</f>
        <v>5</v>
      </c>
      <c r="O35" s="5" t="str">
        <f aca="false">IF(C35&gt;=G35,"Yes","No")</f>
        <v>No</v>
      </c>
      <c r="P35" s="57"/>
    </row>
    <row r="36" customFormat="false" ht="15" hidden="false" customHeight="true" outlineLevel="0" collapsed="false">
      <c r="A36" s="60" t="n">
        <f aca="false">'Raw-Data'!N3</f>
        <v>46222</v>
      </c>
      <c r="B36" s="61" t="n">
        <f aca="false">'Raw-Data'!O3</f>
        <v>63</v>
      </c>
      <c r="C36" s="62" t="n">
        <f aca="false">'Raw-Data'!P3</f>
        <v>0.836</v>
      </c>
      <c r="D36" s="62" t="n">
        <f aca="true">IF(NOT($K35),D35,AVERAGE(OFFSET($M35,-1*MAX($L35,N35),0):OFFSET($M35,0,0)))</f>
        <v>0.798939338009105</v>
      </c>
      <c r="E36" s="63" t="n">
        <f aca="true">IF(NOT($K35),E35,IFERROR(STDEV(OFFSET($M35,-1*MAX($L35,N35),0):OFFSET($M35,0,0)),E35))</f>
        <v>0.0887289867924237</v>
      </c>
      <c r="F36" s="62" t="n">
        <f aca="false">MAX(0,D36-3*SQRT(D36*(1-D36)/B36))</f>
        <v>0.647453708237698</v>
      </c>
      <c r="G36" s="64" t="n">
        <v>0.95</v>
      </c>
      <c r="H36" s="65" t="n">
        <f aca="false">(C36-D36)/E36</f>
        <v>0.417683818227253</v>
      </c>
      <c r="I36" s="65" t="n">
        <f aca="false">IF(P36="y",I35,IF(K35,0,MAX(0,I35+H36-0.5)))</f>
        <v>2.30013339678388</v>
      </c>
      <c r="J36" s="65" t="n">
        <f aca="false">IF(P36="y",J35,IF(K35,0,MAX(0,J35-H36+0.5)))</f>
        <v>1.30529790416298</v>
      </c>
      <c r="K36" s="61" t="n">
        <f aca="false" t="array" ref="K36:K36">IFERROR(OR(ABS(I36)&gt;=4, ABS(J36)&gt;=4),FALSE())</f>
        <v>0</v>
      </c>
      <c r="L36" s="61" t="n">
        <f aca="false">IF(K35,0,L35+1)</f>
        <v>13</v>
      </c>
      <c r="M36" s="62" t="n">
        <f aca="false">IF(P36="y","",C36)</f>
        <v>0.836</v>
      </c>
      <c r="N36" s="61" t="n">
        <f aca="false">MIN(5,N35+1)</f>
        <v>5</v>
      </c>
      <c r="O36" s="66" t="str">
        <f aca="false">IF(C36&gt;=G36,"Yes","No")</f>
        <v>No</v>
      </c>
      <c r="P36" s="57"/>
    </row>
    <row r="39" customFormat="false" ht="15" hidden="false" customHeight="false" outlineLevel="0" collapsed="false">
      <c r="A39" s="70" t="s">
        <v>53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</row>
    <row r="41" customFormat="false" ht="15" hidden="false" customHeight="false" outlineLevel="0" collapsed="false">
      <c r="A41" s="71" t="s">
        <v>54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</row>
    <row r="42" customFormat="false" ht="15" hidden="false" customHeight="true" outlineLevel="0" collapsed="false">
      <c r="A42" s="72" t="s">
        <v>62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</row>
    <row r="45" customFormat="false" ht="15" hidden="false" customHeight="false" outlineLevel="0" collapsed="false">
      <c r="A45" s="71" t="s">
        <v>56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</row>
    <row r="46" customFormat="false" ht="15" hidden="false" customHeight="true" outlineLevel="0" collapsed="false">
      <c r="A46" s="72" t="s">
        <v>63</v>
      </c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</row>
    <row r="47" customFormat="false" ht="15" hidden="false" customHeight="false" outlineLevel="0" collapsed="false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</row>
  </sheetData>
  <mergeCells count="8">
    <mergeCell ref="A1:O1"/>
    <mergeCell ref="A2:O2"/>
    <mergeCell ref="R4:S4"/>
    <mergeCell ref="A39:O39"/>
    <mergeCell ref="A41:O41"/>
    <mergeCell ref="A42:O42"/>
    <mergeCell ref="A45:O45"/>
    <mergeCell ref="A46:O47"/>
  </mergeCells>
  <conditionalFormatting sqref="K5:K36">
    <cfRule type="cellIs" priority="2" operator="equal" aboveAverage="0" equalAverage="0" bottom="0" percent="0" rank="0" text="" dxfId="0">
      <formula>1</formula>
    </cfRule>
  </conditionalFormatting>
  <conditionalFormatting sqref="O5:O36"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9" width="13"/>
    <col collapsed="false" customWidth="true" hidden="false" outlineLevel="0" max="2" min="2" style="49" width="14"/>
    <col collapsed="false" customWidth="true" hidden="false" outlineLevel="0" max="3" min="3" style="49" width="15"/>
    <col collapsed="false" customWidth="true" hidden="false" outlineLevel="0" max="4" min="4" style="49" width="12"/>
    <col collapsed="false" customWidth="true" hidden="false" outlineLevel="0" max="6" min="5" style="49" width="11"/>
    <col collapsed="false" customWidth="true" hidden="false" outlineLevel="0" max="8" min="7" style="49" width="10"/>
    <col collapsed="false" customWidth="true" hidden="false" outlineLevel="0" max="10" min="9" style="49" width="9"/>
    <col collapsed="false" customWidth="true" hidden="false" outlineLevel="0" max="11" min="11" style="49" width="14"/>
    <col collapsed="false" customWidth="true" hidden="false" outlineLevel="0" max="12" min="12" style="49" width="9"/>
    <col collapsed="false" customWidth="true" hidden="false" outlineLevel="0" max="13" min="13" style="49" width="15"/>
    <col collapsed="false" customWidth="true" hidden="false" outlineLevel="0" max="14" min="14" style="49" width="8"/>
    <col collapsed="false" customWidth="true" hidden="false" outlineLevel="0" max="15" min="15" style="49" width="13"/>
    <col collapsed="false" customWidth="true" hidden="false" outlineLevel="0" max="16" min="16" style="49" width="9"/>
    <col collapsed="false" customWidth="true" hidden="false" outlineLevel="0" max="18" min="18" style="49" width="30"/>
    <col collapsed="false" customWidth="true" hidden="false" outlineLevel="0" max="19" min="19" style="49" width="14"/>
  </cols>
  <sheetData>
    <row r="1" customFormat="false" ht="18" hidden="false" customHeight="true" outlineLevel="0" collapsed="false">
      <c r="A1" s="50" t="s">
        <v>64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customFormat="false" ht="15" hidden="false" customHeight="true" outlineLevel="0" collapsed="false">
      <c r="A2" s="51" t="s">
        <v>31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4" customFormat="false" ht="15" hidden="false" customHeight="true" outlineLevel="0" collapsed="false">
      <c r="A4" s="3" t="s">
        <v>20</v>
      </c>
      <c r="B4" s="3" t="s">
        <v>32</v>
      </c>
      <c r="C4" s="3" t="s">
        <v>11</v>
      </c>
      <c r="D4" s="3" t="s">
        <v>33</v>
      </c>
      <c r="E4" s="3" t="s">
        <v>34</v>
      </c>
      <c r="F4" s="3" t="s">
        <v>35</v>
      </c>
      <c r="G4" s="3" t="s">
        <v>4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R4" s="52" t="s">
        <v>45</v>
      </c>
      <c r="S4" s="52"/>
    </row>
    <row r="5" customFormat="false" ht="15" hidden="false" customHeight="true" outlineLevel="0" collapsed="false">
      <c r="A5" s="53" t="n">
        <f aca="false">'Raw-Data'!N34</f>
        <v>46191</v>
      </c>
      <c r="B5" s="5" t="n">
        <f aca="false">'Raw-Data'!O34</f>
        <v>44</v>
      </c>
      <c r="C5" s="7" t="n">
        <f aca="false">'Raw-Data'!Q34</f>
        <v>1</v>
      </c>
      <c r="D5" s="7" t="n">
        <v>0.85</v>
      </c>
      <c r="E5" s="54" t="n">
        <v>0.05</v>
      </c>
      <c r="F5" s="7" t="n">
        <f aca="false">MAX(0,D5-3*SQRT(D5*(1-D5)/B5))</f>
        <v>0.688508373422814</v>
      </c>
      <c r="G5" s="6" t="n">
        <v>0.9</v>
      </c>
      <c r="H5" s="55" t="n">
        <f aca="false">(C5-D5)/E5</f>
        <v>3</v>
      </c>
      <c r="I5" s="55" t="n">
        <v>0</v>
      </c>
      <c r="J5" s="55" t="n">
        <v>0</v>
      </c>
      <c r="K5" s="56" t="n">
        <f aca="false" t="array" ref="K5:K5">IFERROR(OR(ABS(I5)&gt;=4, ABS(J5)&gt;=4),FALSE())</f>
        <v>0</v>
      </c>
      <c r="L5" s="5" t="n">
        <v>0</v>
      </c>
      <c r="M5" s="7" t="n">
        <f aca="false">IF(P5="y","",C5)</f>
        <v>1</v>
      </c>
      <c r="N5" s="5" t="n">
        <v>1</v>
      </c>
      <c r="O5" s="5" t="str">
        <f aca="false">IF(C5&gt;=G5,"Yes","No")</f>
        <v>Yes</v>
      </c>
      <c r="P5" s="57"/>
      <c r="R5" s="58" t="s">
        <v>4</v>
      </c>
      <c r="S5" s="59" t="n">
        <v>0.9</v>
      </c>
    </row>
    <row r="6" customFormat="false" ht="15" hidden="false" customHeight="true" outlineLevel="0" collapsed="false">
      <c r="A6" s="60" t="n">
        <f aca="false">'Raw-Data'!N33</f>
        <v>46192</v>
      </c>
      <c r="B6" s="61" t="n">
        <f aca="false">'Raw-Data'!O33</f>
        <v>37</v>
      </c>
      <c r="C6" s="62" t="n">
        <f aca="false">'Raw-Data'!Q33</f>
        <v>0.391</v>
      </c>
      <c r="D6" s="62" t="n">
        <f aca="true">IF(NOT($K5),D5,AVERAGE(OFFSET($M5,-1*MAX($L5,N5),0):OFFSET($M5,0,0)))</f>
        <v>0.85</v>
      </c>
      <c r="E6" s="63" t="n">
        <f aca="true">IF(NOT($K5),E5,IFERROR(STDEV(OFFSET($M5,-1*MAX($L5,N5),0):OFFSET($M5,0,0)),E5))</f>
        <v>0.05</v>
      </c>
      <c r="F6" s="62" t="n">
        <f aca="false">MAX(0,D6-3*SQRT(D6*(1-D6)/B6))</f>
        <v>0.67389345976508</v>
      </c>
      <c r="G6" s="64" t="n">
        <v>0.9</v>
      </c>
      <c r="H6" s="65" t="n">
        <f aca="false">(C6-D6)/E6</f>
        <v>-9.18</v>
      </c>
      <c r="I6" s="65" t="n">
        <f aca="false">IF(P6="y",I5,IF(K5,0,MAX(0,I5+H6-0.5)))</f>
        <v>0</v>
      </c>
      <c r="J6" s="65" t="n">
        <f aca="false">IF(P6="y",J5,IF(K5,0,MAX(0,J5-H6+0.5)))</f>
        <v>9.68</v>
      </c>
      <c r="K6" s="61" t="n">
        <f aca="false" t="array" ref="K6:K6">IFERROR(OR(ABS(I6)&gt;=4, ABS(J6)&gt;=4),FALSE())</f>
        <v>1</v>
      </c>
      <c r="L6" s="61" t="n">
        <f aca="false">IF(K5,0,L5+1)</f>
        <v>1</v>
      </c>
      <c r="M6" s="62" t="n">
        <f aca="false">IF(P6="y","",C6)</f>
        <v>0.391</v>
      </c>
      <c r="N6" s="61" t="n">
        <f aca="false">MIN(5,N5+1)</f>
        <v>2</v>
      </c>
      <c r="O6" s="66" t="str">
        <f aca="false">IF(C6&gt;=G6,"Yes","No")</f>
        <v>No</v>
      </c>
      <c r="P6" s="57"/>
      <c r="R6" s="58" t="s">
        <v>46</v>
      </c>
      <c r="S6" s="67" t="n">
        <v>32</v>
      </c>
    </row>
    <row r="7" customFormat="false" ht="15" hidden="false" customHeight="true" outlineLevel="0" collapsed="false">
      <c r="A7" s="53" t="n">
        <f aca="false">'Raw-Data'!N32</f>
        <v>46193</v>
      </c>
      <c r="B7" s="5" t="n">
        <f aca="false">'Raw-Data'!O32</f>
        <v>54</v>
      </c>
      <c r="C7" s="7" t="n">
        <f aca="false">'Raw-Data'!Q32</f>
        <v>0.261</v>
      </c>
      <c r="D7" s="7" t="n">
        <f aca="true">IF(NOT($K6),D6,AVERAGE(OFFSET($M6,-1*MAX($L6,N6),0):OFFSET($M6,0,0)))</f>
        <v>0.6955</v>
      </c>
      <c r="E7" s="54" t="n">
        <f aca="true">IF(NOT($K6),E6,IFERROR(STDEV(OFFSET($M6,-1*MAX($L6,N6),0):OFFSET($M6,0,0)),E6))</f>
        <v>0.430628029742607</v>
      </c>
      <c r="F7" s="7" t="n">
        <f aca="false">MAX(0,D7-3*SQRT(D7*(1-D7)/B7))</f>
        <v>0.507626039590368</v>
      </c>
      <c r="G7" s="6" t="n">
        <v>0.9</v>
      </c>
      <c r="H7" s="55" t="n">
        <f aca="false">(C7-D7)/E7</f>
        <v>-1.00899144967342</v>
      </c>
      <c r="I7" s="55" t="n">
        <f aca="false">IF(P7="y",I6,IF(K6,0,MAX(0,I6+H7-0.5)))</f>
        <v>0</v>
      </c>
      <c r="J7" s="55" t="n">
        <f aca="false">IF(P7="y",J6,IF(K6,0,MAX(0,J6-H7+0.5)))</f>
        <v>0</v>
      </c>
      <c r="K7" s="56" t="n">
        <f aca="false" t="array" ref="K7:K7">IFERROR(OR(ABS(I7)&gt;=4, ABS(J7)&gt;=4),FALSE())</f>
        <v>0</v>
      </c>
      <c r="L7" s="5" t="n">
        <f aca="false">IF(K6,0,L6+1)</f>
        <v>0</v>
      </c>
      <c r="M7" s="7" t="n">
        <f aca="false">IF(P7="y","",C7)</f>
        <v>0.261</v>
      </c>
      <c r="N7" s="5" t="n">
        <f aca="false">MIN(5,N6+1)</f>
        <v>3</v>
      </c>
      <c r="O7" s="5" t="str">
        <f aca="false">IF(C7&gt;=G7,"Yes","No")</f>
        <v>No</v>
      </c>
      <c r="P7" s="57"/>
      <c r="R7" s="58" t="s">
        <v>47</v>
      </c>
      <c r="S7" s="67" t="n">
        <f aca="false">COUNTIF(K5:K36,TRUE())</f>
        <v>3</v>
      </c>
    </row>
    <row r="8" customFormat="false" ht="15" hidden="false" customHeight="true" outlineLevel="0" collapsed="false">
      <c r="A8" s="60" t="n">
        <f aca="false">'Raw-Data'!N31</f>
        <v>46194</v>
      </c>
      <c r="B8" s="61" t="n">
        <f aca="false">'Raw-Data'!O31</f>
        <v>35</v>
      </c>
      <c r="C8" s="62" t="n">
        <f aca="false">'Raw-Data'!Q31</f>
        <v>0.484</v>
      </c>
      <c r="D8" s="62" t="n">
        <f aca="true">IF(NOT($K7),D7,AVERAGE(OFFSET($M7,-1*MAX($L7,N7),0):OFFSET($M7,0,0)))</f>
        <v>0.6955</v>
      </c>
      <c r="E8" s="63" t="n">
        <f aca="true">IF(NOT($K7),E7,IFERROR(STDEV(OFFSET($M7,-1*MAX($L7,N7),0):OFFSET($M7,0,0)),E7))</f>
        <v>0.430628029742607</v>
      </c>
      <c r="F8" s="62" t="n">
        <f aca="false">MAX(0,D8-3*SQRT(D8*(1-D8)/B8))</f>
        <v>0.462138370763315</v>
      </c>
      <c r="G8" s="64" t="n">
        <v>0.9</v>
      </c>
      <c r="H8" s="65" t="n">
        <f aca="false">(C8-D8)/E8</f>
        <v>-0.491143133730558</v>
      </c>
      <c r="I8" s="65" t="n">
        <f aca="false">IF(P8="y",I7,IF(K7,0,MAX(0,I7+H8-0.5)))</f>
        <v>0</v>
      </c>
      <c r="J8" s="65" t="n">
        <f aca="false">IF(P8="y",J7,IF(K7,0,MAX(0,J7-H8+0.5)))</f>
        <v>0.991143133730558</v>
      </c>
      <c r="K8" s="61" t="n">
        <f aca="false" t="array" ref="K8:K8">IFERROR(OR(ABS(I8)&gt;=4, ABS(J8)&gt;=4),FALSE())</f>
        <v>0</v>
      </c>
      <c r="L8" s="61" t="n">
        <f aca="false">IF(K7,0,L7+1)</f>
        <v>1</v>
      </c>
      <c r="M8" s="62" t="n">
        <f aca="false">IF(P8="y","",C8)</f>
        <v>0.484</v>
      </c>
      <c r="N8" s="61" t="n">
        <f aca="false">MIN(5,N7+1)</f>
        <v>4</v>
      </c>
      <c r="O8" s="66" t="str">
        <f aca="false">IF(C8&gt;=G8,"Yes","No")</f>
        <v>No</v>
      </c>
      <c r="P8" s="57"/>
      <c r="R8" s="58" t="s">
        <v>48</v>
      </c>
      <c r="S8" s="68" t="str">
        <f aca="false">COUNTIF(O5:O36,"Yes")&amp;"/"&amp;32</f>
        <v>5/32</v>
      </c>
    </row>
    <row r="9" customFormat="false" ht="15" hidden="false" customHeight="true" outlineLevel="0" collapsed="false">
      <c r="A9" s="53" t="n">
        <f aca="false">'Raw-Data'!N30</f>
        <v>46195</v>
      </c>
      <c r="B9" s="5" t="n">
        <f aca="false">'Raw-Data'!O30</f>
        <v>39</v>
      </c>
      <c r="C9" s="7" t="n">
        <f aca="false">'Raw-Data'!Q30</f>
        <v>0.71</v>
      </c>
      <c r="D9" s="7" t="n">
        <f aca="true">IF(NOT($K8),D8,AVERAGE(OFFSET($M8,-1*MAX($L8,N8),0):OFFSET($M8,0,0)))</f>
        <v>0.6955</v>
      </c>
      <c r="E9" s="54" t="n">
        <f aca="true">IF(NOT($K8),E8,IFERROR(STDEV(OFFSET($M8,-1*MAX($L8,N8),0):OFFSET($M8,0,0)),E8))</f>
        <v>0.430628029742607</v>
      </c>
      <c r="F9" s="7" t="n">
        <f aca="false">MAX(0,D9-3*SQRT(D9*(1-D9)/B9))</f>
        <v>0.474429309948153</v>
      </c>
      <c r="G9" s="6" t="n">
        <v>0.9</v>
      </c>
      <c r="H9" s="55" t="n">
        <f aca="false">(C9-D9)/E9</f>
        <v>0.0336717514850736</v>
      </c>
      <c r="I9" s="55" t="n">
        <f aca="false">IF(P9="y",I8,IF(K8,0,MAX(0,I8+H9-0.5)))</f>
        <v>0</v>
      </c>
      <c r="J9" s="55" t="n">
        <f aca="false">IF(P9="y",J8,IF(K8,0,MAX(0,J8-H9+0.5)))</f>
        <v>1.45747138224548</v>
      </c>
      <c r="K9" s="56" t="n">
        <f aca="false" t="array" ref="K9:K9">IFERROR(OR(ABS(I9)&gt;=4, ABS(J9)&gt;=4),FALSE())</f>
        <v>0</v>
      </c>
      <c r="L9" s="5" t="n">
        <f aca="false">IF(K8,0,L8+1)</f>
        <v>2</v>
      </c>
      <c r="M9" s="7" t="n">
        <f aca="false">IF(P9="y","",C9)</f>
        <v>0.71</v>
      </c>
      <c r="N9" s="5" t="n">
        <f aca="false">MIN(5,N8+1)</f>
        <v>5</v>
      </c>
      <c r="O9" s="5" t="str">
        <f aca="false">IF(C9&gt;=G9,"Yes","No")</f>
        <v>No</v>
      </c>
      <c r="P9" s="57"/>
      <c r="R9" s="58" t="s">
        <v>49</v>
      </c>
      <c r="S9" s="69" t="n">
        <f aca="false">AVERAGE(C5:C36)</f>
        <v>0.605221875</v>
      </c>
    </row>
    <row r="10" customFormat="false" ht="15" hidden="false" customHeight="true" outlineLevel="0" collapsed="false">
      <c r="A10" s="60" t="n">
        <f aca="false">'Raw-Data'!N29</f>
        <v>46196</v>
      </c>
      <c r="B10" s="61" t="n">
        <f aca="false">'Raw-Data'!O29</f>
        <v>47</v>
      </c>
      <c r="C10" s="62" t="n">
        <f aca="false">'Raw-Data'!Q29</f>
        <v>0.828</v>
      </c>
      <c r="D10" s="62" t="n">
        <f aca="true">IF(NOT($K9),D9,AVERAGE(OFFSET($M9,-1*MAX($L9,N9),0):OFFSET($M9,0,0)))</f>
        <v>0.6955</v>
      </c>
      <c r="E10" s="63" t="n">
        <f aca="true">IF(NOT($K9),E9,IFERROR(STDEV(OFFSET($M9,-1*MAX($L9,N9),0):OFFSET($M9,0,0)),E9))</f>
        <v>0.430628029742607</v>
      </c>
      <c r="F10" s="62" t="n">
        <f aca="false">MAX(0,D10-3*SQRT(D10*(1-D10)/B10))</f>
        <v>0.494120832385929</v>
      </c>
      <c r="G10" s="64" t="n">
        <v>0.9</v>
      </c>
      <c r="H10" s="65" t="n">
        <f aca="false">(C10-D10)/E10</f>
        <v>0.307690142880846</v>
      </c>
      <c r="I10" s="65" t="n">
        <f aca="false">IF(P10="y",I9,IF(K9,0,MAX(0,I9+H10-0.5)))</f>
        <v>0</v>
      </c>
      <c r="J10" s="65" t="n">
        <f aca="false">IF(P10="y",J9,IF(K9,0,MAX(0,J9-H10+0.5)))</f>
        <v>1.64978123936464</v>
      </c>
      <c r="K10" s="61" t="n">
        <f aca="false" t="array" ref="K10:K10">IFERROR(OR(ABS(I10)&gt;=4, ABS(J10)&gt;=4),FALSE())</f>
        <v>0</v>
      </c>
      <c r="L10" s="61" t="n">
        <f aca="false">IF(K9,0,L9+1)</f>
        <v>3</v>
      </c>
      <c r="M10" s="62" t="n">
        <f aca="false">IF(P10="y","",C10)</f>
        <v>0.828</v>
      </c>
      <c r="N10" s="61" t="n">
        <f aca="false">MIN(5,N9+1)</f>
        <v>5</v>
      </c>
      <c r="O10" s="66" t="str">
        <f aca="false">IF(C10&gt;=G10,"Yes","No")</f>
        <v>No</v>
      </c>
      <c r="P10" s="57"/>
      <c r="R10" s="58" t="s">
        <v>50</v>
      </c>
      <c r="S10" s="69" t="n">
        <f aca="false">AVERAGE(C5:C36)-G5</f>
        <v>-0.294778125</v>
      </c>
    </row>
    <row r="11" customFormat="false" ht="15" hidden="false" customHeight="true" outlineLevel="0" collapsed="false">
      <c r="A11" s="53" t="n">
        <f aca="false">'Raw-Data'!N28</f>
        <v>46197</v>
      </c>
      <c r="B11" s="5" t="n">
        <f aca="false">'Raw-Data'!O28</f>
        <v>44</v>
      </c>
      <c r="C11" s="7" t="n">
        <f aca="false">'Raw-Data'!Q28</f>
        <v>0.833</v>
      </c>
      <c r="D11" s="7" t="n">
        <f aca="true">IF(NOT($K10),D10,AVERAGE(OFFSET($M10,-1*MAX($L10,N10),0):OFFSET($M10,0,0)))</f>
        <v>0.6955</v>
      </c>
      <c r="E11" s="54" t="n">
        <f aca="true">IF(NOT($K10),E10,IFERROR(STDEV(OFFSET($M10,-1*MAX($L10,N10),0):OFFSET($M10,0,0)),E10))</f>
        <v>0.430628029742607</v>
      </c>
      <c r="F11" s="7" t="n">
        <f aca="false">MAX(0,D11-3*SQRT(D11*(1-D11)/B11))</f>
        <v>0.487368826872876</v>
      </c>
      <c r="G11" s="6" t="n">
        <v>0.9</v>
      </c>
      <c r="H11" s="55" t="n">
        <f aca="false">(C11-D11)/E11</f>
        <v>0.319301091668802</v>
      </c>
      <c r="I11" s="55" t="n">
        <f aca="false">IF(P11="y",I10,IF(K10,0,MAX(0,I10+H11-0.5)))</f>
        <v>0</v>
      </c>
      <c r="J11" s="55" t="n">
        <f aca="false">IF(P11="y",J10,IF(K10,0,MAX(0,J10-H11+0.5)))</f>
        <v>1.83048014769584</v>
      </c>
      <c r="K11" s="56" t="n">
        <f aca="false" t="array" ref="K11:K11">IFERROR(OR(ABS(I11)&gt;=4, ABS(J11)&gt;=4),FALSE())</f>
        <v>0</v>
      </c>
      <c r="L11" s="5" t="n">
        <f aca="false">IF(K10,0,L10+1)</f>
        <v>4</v>
      </c>
      <c r="M11" s="7" t="n">
        <f aca="false">IF(P11="y","",C11)</f>
        <v>0.833</v>
      </c>
      <c r="N11" s="5" t="n">
        <f aca="false">MIN(5,N10+1)</f>
        <v>5</v>
      </c>
      <c r="O11" s="5" t="str">
        <f aca="false">IF(C11&gt;=G11,"Yes","No")</f>
        <v>No</v>
      </c>
      <c r="P11" s="57"/>
      <c r="R11" s="58" t="s">
        <v>51</v>
      </c>
      <c r="S11" s="69" t="n">
        <f aca="false">D36</f>
        <v>0.455333333333333</v>
      </c>
    </row>
    <row r="12" customFormat="false" ht="15" hidden="false" customHeight="true" outlineLevel="0" collapsed="false">
      <c r="A12" s="60" t="n">
        <f aca="false">'Raw-Data'!N27</f>
        <v>46198</v>
      </c>
      <c r="B12" s="61" t="n">
        <f aca="false">'Raw-Data'!O27</f>
        <v>46</v>
      </c>
      <c r="C12" s="62" t="n">
        <f aca="false">'Raw-Data'!Q27</f>
        <v>0.905</v>
      </c>
      <c r="D12" s="62" t="n">
        <f aca="true">IF(NOT($K11),D11,AVERAGE(OFFSET($M11,-1*MAX($L11,N11),0):OFFSET($M11,0,0)))</f>
        <v>0.6955</v>
      </c>
      <c r="E12" s="63" t="n">
        <f aca="true">IF(NOT($K11),E11,IFERROR(STDEV(OFFSET($M11,-1*MAX($L11,N11),0):OFFSET($M11,0,0)),E11))</f>
        <v>0.430628029742607</v>
      </c>
      <c r="F12" s="62" t="n">
        <f aca="false">MAX(0,D12-3*SQRT(D12*(1-D12)/B12))</f>
        <v>0.49194369703136</v>
      </c>
      <c r="G12" s="64" t="n">
        <v>0.9</v>
      </c>
      <c r="H12" s="65" t="n">
        <f aca="false">(C12-D12)/E12</f>
        <v>0.486498754215375</v>
      </c>
      <c r="I12" s="65" t="n">
        <f aca="false">IF(P12="y",I11,IF(K11,0,MAX(0,I11+H12-0.5)))</f>
        <v>0</v>
      </c>
      <c r="J12" s="65" t="n">
        <f aca="false">IF(P12="y",J11,IF(K11,0,MAX(0,J11-H12+0.5)))</f>
        <v>1.84398139348046</v>
      </c>
      <c r="K12" s="61" t="n">
        <f aca="false" t="array" ref="K12:K12">IFERROR(OR(ABS(I12)&gt;=4, ABS(J12)&gt;=4),FALSE())</f>
        <v>0</v>
      </c>
      <c r="L12" s="61" t="n">
        <f aca="false">IF(K11,0,L11+1)</f>
        <v>5</v>
      </c>
      <c r="M12" s="62" t="n">
        <f aca="false">IF(P12="y","",C12)</f>
        <v>0.905</v>
      </c>
      <c r="N12" s="61" t="n">
        <f aca="false">MIN(5,N11+1)</f>
        <v>5</v>
      </c>
      <c r="O12" s="66" t="str">
        <f aca="false">IF(C12&gt;=G12,"Yes","No")</f>
        <v>Yes</v>
      </c>
      <c r="P12" s="57"/>
      <c r="R12" s="58" t="s">
        <v>52</v>
      </c>
      <c r="S12" s="69" t="n">
        <f aca="false">F36</f>
        <v>0.267106688457349</v>
      </c>
    </row>
    <row r="13" customFormat="false" ht="15" hidden="false" customHeight="true" outlineLevel="0" collapsed="false">
      <c r="A13" s="53" t="n">
        <f aca="false">'Raw-Data'!N26</f>
        <v>46199</v>
      </c>
      <c r="B13" s="5" t="n">
        <f aca="false">'Raw-Data'!O26</f>
        <v>48</v>
      </c>
      <c r="C13" s="7" t="n">
        <f aca="false">'Raw-Data'!Q26</f>
        <v>0.909</v>
      </c>
      <c r="D13" s="7" t="n">
        <f aca="true">IF(NOT($K12),D12,AVERAGE(OFFSET($M12,-1*MAX($L12,N12),0):OFFSET($M12,0,0)))</f>
        <v>0.6955</v>
      </c>
      <c r="E13" s="54" t="n">
        <f aca="true">IF(NOT($K12),E12,IFERROR(STDEV(OFFSET($M12,-1*MAX($L12,N12),0):OFFSET($M12,0,0)),E12))</f>
        <v>0.430628029742607</v>
      </c>
      <c r="F13" s="7" t="n">
        <f aca="false">MAX(0,D13-3*SQRT(D13*(1-D13)/B13))</f>
        <v>0.496229572878964</v>
      </c>
      <c r="G13" s="6" t="n">
        <v>0.9</v>
      </c>
      <c r="H13" s="55" t="n">
        <f aca="false">(C13-D13)/E13</f>
        <v>0.49578751324574</v>
      </c>
      <c r="I13" s="55" t="n">
        <f aca="false">IF(P13="y",I12,IF(K12,0,MAX(0,I12+H13-0.5)))</f>
        <v>0</v>
      </c>
      <c r="J13" s="55" t="n">
        <f aca="false">IF(P13="y",J12,IF(K12,0,MAX(0,J12-H13+0.5)))</f>
        <v>1.84819388023472</v>
      </c>
      <c r="K13" s="56" t="n">
        <f aca="false" t="array" ref="K13:K13">IFERROR(OR(ABS(I13)&gt;=4, ABS(J13)&gt;=4),FALSE())</f>
        <v>0</v>
      </c>
      <c r="L13" s="5" t="n">
        <f aca="false">IF(K12,0,L12+1)</f>
        <v>6</v>
      </c>
      <c r="M13" s="7" t="n">
        <f aca="false">IF(P13="y","",C13)</f>
        <v>0.909</v>
      </c>
      <c r="N13" s="5" t="n">
        <f aca="false">MIN(5,N12+1)</f>
        <v>5</v>
      </c>
      <c r="O13" s="5" t="str">
        <f aca="false">IF(C13&gt;=G13,"Yes","No")</f>
        <v>Yes</v>
      </c>
      <c r="P13" s="57"/>
    </row>
    <row r="14" customFormat="false" ht="15" hidden="false" customHeight="true" outlineLevel="0" collapsed="false">
      <c r="A14" s="60" t="n">
        <f aca="false">'Raw-Data'!N25</f>
        <v>46200</v>
      </c>
      <c r="B14" s="61" t="n">
        <f aca="false">'Raw-Data'!O25</f>
        <v>47</v>
      </c>
      <c r="C14" s="62" t="n">
        <f aca="false">'Raw-Data'!Q25</f>
        <v>0.933</v>
      </c>
      <c r="D14" s="62" t="n">
        <f aca="true">IF(NOT($K13),D13,AVERAGE(OFFSET($M13,-1*MAX($L13,N13),0):OFFSET($M13,0,0)))</f>
        <v>0.6955</v>
      </c>
      <c r="E14" s="63" t="n">
        <f aca="true">IF(NOT($K13),E13,IFERROR(STDEV(OFFSET($M13,-1*MAX($L13,N13),0):OFFSET($M13,0,0)),E13))</f>
        <v>0.430628029742607</v>
      </c>
      <c r="F14" s="62" t="n">
        <f aca="false">MAX(0,D14-3*SQRT(D14*(1-D14)/B14))</f>
        <v>0.494120832385929</v>
      </c>
      <c r="G14" s="64" t="n">
        <v>0.9</v>
      </c>
      <c r="H14" s="65" t="n">
        <f aca="false">(C14-D14)/E14</f>
        <v>0.551520067427931</v>
      </c>
      <c r="I14" s="65" t="n">
        <f aca="false">IF(P14="y",I13,IF(K13,0,MAX(0,I13+H14-0.5)))</f>
        <v>0.0515200674279313</v>
      </c>
      <c r="J14" s="65" t="n">
        <f aca="false">IF(P14="y",J13,IF(K13,0,MAX(0,J13-H14+0.5)))</f>
        <v>1.79667381280679</v>
      </c>
      <c r="K14" s="61" t="n">
        <f aca="false" t="array" ref="K14:K14">IFERROR(OR(ABS(I14)&gt;=4, ABS(J14)&gt;=4),FALSE())</f>
        <v>0</v>
      </c>
      <c r="L14" s="61" t="n">
        <f aca="false">IF(K13,0,L13+1)</f>
        <v>7</v>
      </c>
      <c r="M14" s="62" t="n">
        <f aca="false">IF(P14="y","",C14)</f>
        <v>0.933</v>
      </c>
      <c r="N14" s="61" t="n">
        <f aca="false">MIN(5,N13+1)</f>
        <v>5</v>
      </c>
      <c r="O14" s="66" t="str">
        <f aca="false">IF(C14&gt;=G14,"Yes","No")</f>
        <v>Yes</v>
      </c>
      <c r="P14" s="57"/>
    </row>
    <row r="15" customFormat="false" ht="15" hidden="false" customHeight="true" outlineLevel="0" collapsed="false">
      <c r="A15" s="53" t="n">
        <f aca="false">'Raw-Data'!N24</f>
        <v>46201</v>
      </c>
      <c r="B15" s="5" t="n">
        <f aca="false">'Raw-Data'!O24</f>
        <v>43</v>
      </c>
      <c r="C15" s="7" t="n">
        <f aca="false">'Raw-Data'!Q24</f>
        <v>0.632</v>
      </c>
      <c r="D15" s="7" t="n">
        <f aca="true">IF(NOT($K14),D14,AVERAGE(OFFSET($M14,-1*MAX($L14,N14),0):OFFSET($M14,0,0)))</f>
        <v>0.6955</v>
      </c>
      <c r="E15" s="54" t="n">
        <f aca="true">IF(NOT($K14),E14,IFERROR(STDEV(OFFSET($M14,-1*MAX($L14,N14),0):OFFSET($M14,0,0)),E14))</f>
        <v>0.430628029742607</v>
      </c>
      <c r="F15" s="7" t="n">
        <f aca="false">MAX(0,D15-3*SQRT(D15*(1-D15)/B15))</f>
        <v>0.484962606204868</v>
      </c>
      <c r="G15" s="6" t="n">
        <v>0.9</v>
      </c>
      <c r="H15" s="55" t="n">
        <f aca="false">(C15-D15)/E15</f>
        <v>-0.147459049607047</v>
      </c>
      <c r="I15" s="55" t="n">
        <f aca="false">IF(P15="y",I14,IF(K14,0,MAX(0,I14+H15-0.5)))</f>
        <v>0</v>
      </c>
      <c r="J15" s="55" t="n">
        <f aca="false">IF(P15="y",J14,IF(K14,0,MAX(0,J14-H15+0.5)))</f>
        <v>2.44413286241384</v>
      </c>
      <c r="K15" s="56" t="n">
        <f aca="false" t="array" ref="K15:K15">IFERROR(OR(ABS(I15)&gt;=4, ABS(J15)&gt;=4),FALSE())</f>
        <v>0</v>
      </c>
      <c r="L15" s="5" t="n">
        <f aca="false">IF(K14,0,L14+1)</f>
        <v>8</v>
      </c>
      <c r="M15" s="7" t="n">
        <f aca="false">IF(P15="y","",C15)</f>
        <v>0.632</v>
      </c>
      <c r="N15" s="5" t="n">
        <f aca="false">MIN(5,N14+1)</f>
        <v>5</v>
      </c>
      <c r="O15" s="5" t="str">
        <f aca="false">IF(C15&gt;=G15,"Yes","No")</f>
        <v>No</v>
      </c>
      <c r="P15" s="57"/>
    </row>
    <row r="16" customFormat="false" ht="15" hidden="false" customHeight="true" outlineLevel="0" collapsed="false">
      <c r="A16" s="60" t="n">
        <f aca="false">'Raw-Data'!N23</f>
        <v>46202</v>
      </c>
      <c r="B16" s="61" t="n">
        <f aca="false">'Raw-Data'!O23</f>
        <v>36</v>
      </c>
      <c r="C16" s="62" t="n">
        <f aca="false">'Raw-Data'!Q23</f>
        <v>0.408</v>
      </c>
      <c r="D16" s="62" t="n">
        <f aca="true">IF(NOT($K15),D15,AVERAGE(OFFSET($M15,-1*MAX($L15,N15),0):OFFSET($M15,0,0)))</f>
        <v>0.6955</v>
      </c>
      <c r="E16" s="63" t="n">
        <f aca="true">IF(NOT($K15),E15,IFERROR(STDEV(OFFSET($M15,-1*MAX($L15,N15),0):OFFSET($M15,0,0)),E15))</f>
        <v>0.430628029742607</v>
      </c>
      <c r="F16" s="62" t="n">
        <f aca="false">MAX(0,D16-3*SQRT(D16*(1-D16)/B16))</f>
        <v>0.465402330520277</v>
      </c>
      <c r="G16" s="64" t="n">
        <v>0.9</v>
      </c>
      <c r="H16" s="65" t="n">
        <f aca="false">(C16-D16)/E16</f>
        <v>-0.667629555307496</v>
      </c>
      <c r="I16" s="65" t="n">
        <f aca="false">IF(P16="y",I15,IF(K15,0,MAX(0,I15+H16-0.5)))</f>
        <v>0</v>
      </c>
      <c r="J16" s="65" t="n">
        <f aca="false">IF(P16="y",J15,IF(K15,0,MAX(0,J15-H16+0.5)))</f>
        <v>3.61176241772133</v>
      </c>
      <c r="K16" s="61" t="n">
        <f aca="false" t="array" ref="K16:K16">IFERROR(OR(ABS(I16)&gt;=4, ABS(J16)&gt;=4),FALSE())</f>
        <v>0</v>
      </c>
      <c r="L16" s="61" t="n">
        <f aca="false">IF(K15,0,L15+1)</f>
        <v>9</v>
      </c>
      <c r="M16" s="62" t="n">
        <f aca="false">IF(P16="y","",C16)</f>
        <v>0.408</v>
      </c>
      <c r="N16" s="61" t="n">
        <f aca="false">MIN(5,N15+1)</f>
        <v>5</v>
      </c>
      <c r="O16" s="66" t="str">
        <f aca="false">IF(C16&gt;=G16,"Yes","No")</f>
        <v>No</v>
      </c>
      <c r="P16" s="57"/>
    </row>
    <row r="17" customFormat="false" ht="15" hidden="false" customHeight="true" outlineLevel="0" collapsed="false">
      <c r="A17" s="53" t="n">
        <f aca="false">'Raw-Data'!N22</f>
        <v>46203</v>
      </c>
      <c r="B17" s="5" t="n">
        <f aca="false">'Raw-Data'!O22</f>
        <v>63</v>
      </c>
      <c r="C17" s="7" t="n">
        <f aca="false">'Raw-Data'!Q22</f>
        <v>0.984</v>
      </c>
      <c r="D17" s="7" t="n">
        <f aca="true">IF(NOT($K16),D16,AVERAGE(OFFSET($M16,-1*MAX($L16,N16),0):OFFSET($M16,0,0)))</f>
        <v>0.6955</v>
      </c>
      <c r="E17" s="54" t="n">
        <f aca="true">IF(NOT($K16),E16,IFERROR(STDEV(OFFSET($M16,-1*MAX($L16,N16),0):OFFSET($M16,0,0)),E16))</f>
        <v>0.430628029742607</v>
      </c>
      <c r="F17" s="7" t="n">
        <f aca="false">MAX(0,D17-3*SQRT(D17*(1-D17)/B17))</f>
        <v>0.52156251122889</v>
      </c>
      <c r="G17" s="6" t="n">
        <v>0.9</v>
      </c>
      <c r="H17" s="55" t="n">
        <f aca="false">(C17-D17)/E17</f>
        <v>0.669951745065087</v>
      </c>
      <c r="I17" s="55" t="n">
        <f aca="false">IF(P17="y",I16,IF(K16,0,MAX(0,I16+H17-0.5)))</f>
        <v>0.169951745065087</v>
      </c>
      <c r="J17" s="55" t="n">
        <f aca="false">IF(P17="y",J16,IF(K16,0,MAX(0,J16-H17+0.5)))</f>
        <v>3.44181067265625</v>
      </c>
      <c r="K17" s="56" t="n">
        <f aca="false" t="array" ref="K17:K17">IFERROR(OR(ABS(I17)&gt;=4, ABS(J17)&gt;=4),FALSE())</f>
        <v>0</v>
      </c>
      <c r="L17" s="5" t="n">
        <f aca="false">IF(K16,0,L16+1)</f>
        <v>10</v>
      </c>
      <c r="M17" s="7" t="n">
        <f aca="false">IF(P17="y","",C17)</f>
        <v>0.984</v>
      </c>
      <c r="N17" s="5" t="n">
        <f aca="false">MIN(5,N16+1)</f>
        <v>5</v>
      </c>
      <c r="O17" s="5" t="str">
        <f aca="false">IF(C17&gt;=G17,"Yes","No")</f>
        <v>Yes</v>
      </c>
      <c r="P17" s="57"/>
    </row>
    <row r="18" customFormat="false" ht="15" hidden="false" customHeight="true" outlineLevel="0" collapsed="false">
      <c r="A18" s="60" t="n">
        <f aca="false">'Raw-Data'!N21</f>
        <v>46204</v>
      </c>
      <c r="B18" s="61" t="n">
        <f aca="false">'Raw-Data'!O21</f>
        <v>40</v>
      </c>
      <c r="C18" s="62" t="n">
        <f aca="false">'Raw-Data'!Q21</f>
        <v>0.395</v>
      </c>
      <c r="D18" s="62" t="n">
        <f aca="true">IF(NOT($K17),D17,AVERAGE(OFFSET($M17,-1*MAX($L17,N17),0):OFFSET($M17,0,0)))</f>
        <v>0.6955</v>
      </c>
      <c r="E18" s="63" t="n">
        <f aca="true">IF(NOT($K17),E17,IFERROR(STDEV(OFFSET($M17,-1*MAX($L17,N17),0):OFFSET($M17,0,0)),E17))</f>
        <v>0.430628029742607</v>
      </c>
      <c r="F18" s="62" t="n">
        <f aca="false">MAX(0,D18-3*SQRT(D18*(1-D18)/B18))</f>
        <v>0.477210184044239</v>
      </c>
      <c r="G18" s="64" t="n">
        <v>0.9</v>
      </c>
      <c r="H18" s="65" t="n">
        <f aca="false">(C18-D18)/E18</f>
        <v>-0.697818022156182</v>
      </c>
      <c r="I18" s="65" t="n">
        <f aca="false">IF(P18="y",I17,IF(K17,0,MAX(0,I17+H18-0.5)))</f>
        <v>0</v>
      </c>
      <c r="J18" s="65" t="n">
        <f aca="false">IF(P18="y",J17,IF(K17,0,MAX(0,J17-H18+0.5)))</f>
        <v>4.63962869481243</v>
      </c>
      <c r="K18" s="61" t="n">
        <f aca="false" t="array" ref="K18:K18">IFERROR(OR(ABS(I18)&gt;=4, ABS(J18)&gt;=4),FALSE())</f>
        <v>1</v>
      </c>
      <c r="L18" s="61" t="n">
        <f aca="false">IF(K17,0,L17+1)</f>
        <v>11</v>
      </c>
      <c r="M18" s="62" t="n">
        <f aca="false">IF(P18="y","",C18)</f>
        <v>0.395</v>
      </c>
      <c r="N18" s="61" t="n">
        <f aca="false">MIN(5,N17+1)</f>
        <v>5</v>
      </c>
      <c r="O18" s="66" t="str">
        <f aca="false">IF(C18&gt;=G18,"Yes","No")</f>
        <v>No</v>
      </c>
      <c r="P18" s="57"/>
    </row>
    <row r="19" customFormat="false" ht="15" hidden="false" customHeight="true" outlineLevel="0" collapsed="false">
      <c r="A19" s="53" t="n">
        <f aca="false">'Raw-Data'!N20</f>
        <v>46205</v>
      </c>
      <c r="B19" s="5" t="n">
        <f aca="false">'Raw-Data'!O20</f>
        <v>46</v>
      </c>
      <c r="C19" s="7" t="n">
        <f aca="false">'Raw-Data'!Q20</f>
        <v>0.219</v>
      </c>
      <c r="D19" s="7" t="n">
        <f aca="true">IF(NOT($K18),D18,AVERAGE(OFFSET($M18,-1*MAX($L18,N18),0):OFFSET($M18,0,0)))</f>
        <v>0.690166666666667</v>
      </c>
      <c r="E19" s="54" t="n">
        <f aca="true">IF(NOT($K18),E18,IFERROR(STDEV(OFFSET($M18,-1*MAX($L18,N18),0):OFFSET($M18,0,0)),E18))</f>
        <v>0.247891777462128</v>
      </c>
      <c r="F19" s="7" t="n">
        <f aca="false">MAX(0,D19-3*SQRT(D19*(1-D19)/B19))</f>
        <v>0.485624242556485</v>
      </c>
      <c r="G19" s="6" t="n">
        <v>0.9</v>
      </c>
      <c r="H19" s="55" t="n">
        <f aca="false">(C19-D19)/E19</f>
        <v>-1.90069501897315</v>
      </c>
      <c r="I19" s="55" t="n">
        <f aca="false">IF(P19="y",I18,IF(K18,0,MAX(0,I18+H19-0.5)))</f>
        <v>0</v>
      </c>
      <c r="J19" s="55" t="n">
        <f aca="false">IF(P19="y",J18,IF(K18,0,MAX(0,J18-H19+0.5)))</f>
        <v>0</v>
      </c>
      <c r="K19" s="56" t="n">
        <f aca="false" t="array" ref="K19:K19">IFERROR(OR(ABS(I19)&gt;=4, ABS(J19)&gt;=4),FALSE())</f>
        <v>0</v>
      </c>
      <c r="L19" s="5" t="n">
        <f aca="false">IF(K18,0,L18+1)</f>
        <v>0</v>
      </c>
      <c r="M19" s="7" t="n">
        <f aca="false">IF(P19="y","",C19)</f>
        <v>0.219</v>
      </c>
      <c r="N19" s="5" t="n">
        <f aca="false">MIN(5,N18+1)</f>
        <v>5</v>
      </c>
      <c r="O19" s="5" t="str">
        <f aca="false">IF(C19&gt;=G19,"Yes","No")</f>
        <v>No</v>
      </c>
      <c r="P19" s="57"/>
    </row>
    <row r="20" customFormat="false" ht="15" hidden="false" customHeight="true" outlineLevel="0" collapsed="false">
      <c r="A20" s="60" t="n">
        <f aca="false">'Raw-Data'!N19</f>
        <v>46206</v>
      </c>
      <c r="B20" s="61" t="n">
        <f aca="false">'Raw-Data'!O19</f>
        <v>48</v>
      </c>
      <c r="C20" s="62" t="n">
        <f aca="false">'Raw-Data'!Q19</f>
        <v>0.301</v>
      </c>
      <c r="D20" s="62" t="n">
        <f aca="true">IF(NOT($K19),D19,AVERAGE(OFFSET($M19,-1*MAX($L19,N19),0):OFFSET($M19,0,0)))</f>
        <v>0.690166666666667</v>
      </c>
      <c r="E20" s="63" t="n">
        <f aca="true">IF(NOT($K19),E19,IFERROR(STDEV(OFFSET($M19,-1*MAX($L19,N19),0):OFFSET($M19,0,0)),E19))</f>
        <v>0.247891777462128</v>
      </c>
      <c r="F20" s="62" t="n">
        <f aca="false">MAX(0,D20-3*SQRT(D20*(1-D20)/B20))</f>
        <v>0.489930881174496</v>
      </c>
      <c r="G20" s="64" t="n">
        <v>0.9</v>
      </c>
      <c r="H20" s="65" t="n">
        <f aca="false">(C20-D20)/E20</f>
        <v>-1.56990550735843</v>
      </c>
      <c r="I20" s="65" t="n">
        <f aca="false">IF(P20="y",I19,IF(K19,0,MAX(0,I19+H20-0.5)))</f>
        <v>0</v>
      </c>
      <c r="J20" s="65" t="n">
        <f aca="false">IF(P20="y",J19,IF(K19,0,MAX(0,J19-H20+0.5)))</f>
        <v>2.06990550735843</v>
      </c>
      <c r="K20" s="61" t="n">
        <f aca="false" t="array" ref="K20:K20">IFERROR(OR(ABS(I20)&gt;=4, ABS(J20)&gt;=4),FALSE())</f>
        <v>0</v>
      </c>
      <c r="L20" s="61" t="n">
        <f aca="false">IF(K19,0,L19+1)</f>
        <v>1</v>
      </c>
      <c r="M20" s="62" t="n">
        <f aca="false">IF(P20="y","",C20)</f>
        <v>0.301</v>
      </c>
      <c r="N20" s="61" t="n">
        <f aca="false">MIN(5,N19+1)</f>
        <v>5</v>
      </c>
      <c r="O20" s="66" t="str">
        <f aca="false">IF(C20&gt;=G20,"Yes","No")</f>
        <v>No</v>
      </c>
      <c r="P20" s="57"/>
    </row>
    <row r="21" customFormat="false" ht="15" hidden="false" customHeight="true" outlineLevel="0" collapsed="false">
      <c r="A21" s="53" t="n">
        <f aca="false">'Raw-Data'!N18</f>
        <v>46207</v>
      </c>
      <c r="B21" s="5" t="n">
        <f aca="false">'Raw-Data'!O18</f>
        <v>54</v>
      </c>
      <c r="C21" s="7" t="n">
        <f aca="false">'Raw-Data'!Q18</f>
        <v>0.489</v>
      </c>
      <c r="D21" s="7" t="n">
        <f aca="true">IF(NOT($K20),D20,AVERAGE(OFFSET($M20,-1*MAX($L20,N20),0):OFFSET($M20,0,0)))</f>
        <v>0.690166666666667</v>
      </c>
      <c r="E21" s="54" t="n">
        <f aca="true">IF(NOT($K20),E20,IFERROR(STDEV(OFFSET($M20,-1*MAX($L20,N20),0):OFFSET($M20,0,0)),E20))</f>
        <v>0.247891777462128</v>
      </c>
      <c r="F21" s="7" t="n">
        <f aca="false">MAX(0,D21-3*SQRT(D21*(1-D21)/B21))</f>
        <v>0.501382557656362</v>
      </c>
      <c r="G21" s="6" t="n">
        <v>0.9</v>
      </c>
      <c r="H21" s="55" t="n">
        <f aca="false">(C21-D21)/E21</f>
        <v>-0.811510041705195</v>
      </c>
      <c r="I21" s="55" t="n">
        <f aca="false">IF(P21="y",I20,IF(K20,0,MAX(0,I20+H21-0.5)))</f>
        <v>0</v>
      </c>
      <c r="J21" s="55" t="n">
        <f aca="false">IF(P21="y",J20,IF(K20,0,MAX(0,J20-H21+0.5)))</f>
        <v>3.38141554906363</v>
      </c>
      <c r="K21" s="56" t="n">
        <f aca="false" t="array" ref="K21:K21">IFERROR(OR(ABS(I21)&gt;=4, ABS(J21)&gt;=4),FALSE())</f>
        <v>0</v>
      </c>
      <c r="L21" s="5" t="n">
        <f aca="false">IF(K20,0,L20+1)</f>
        <v>2</v>
      </c>
      <c r="M21" s="7" t="n">
        <f aca="false">IF(P21="y","",C21)</f>
        <v>0.489</v>
      </c>
      <c r="N21" s="5" t="n">
        <f aca="false">MIN(5,N20+1)</f>
        <v>5</v>
      </c>
      <c r="O21" s="5" t="str">
        <f aca="false">IF(C21&gt;=G21,"Yes","No")</f>
        <v>No</v>
      </c>
      <c r="P21" s="57"/>
    </row>
    <row r="22" customFormat="false" ht="15" hidden="false" customHeight="true" outlineLevel="0" collapsed="false">
      <c r="A22" s="60" t="n">
        <f aca="false">'Raw-Data'!N17</f>
        <v>46208</v>
      </c>
      <c r="B22" s="61" t="n">
        <f aca="false">'Raw-Data'!O17</f>
        <v>57</v>
      </c>
      <c r="C22" s="62" t="n">
        <f aca="false">'Raw-Data'!Q17</f>
        <v>0.344</v>
      </c>
      <c r="D22" s="62" t="n">
        <f aca="true">IF(NOT($K21),D21,AVERAGE(OFFSET($M21,-1*MAX($L21,N21),0):OFFSET($M21,0,0)))</f>
        <v>0.690166666666667</v>
      </c>
      <c r="E22" s="63" t="n">
        <f aca="true">IF(NOT($K21),E21,IFERROR(STDEV(OFFSET($M21,-1*MAX($L21,N21),0):OFFSET($M21,0,0)),E21))</f>
        <v>0.247891777462128</v>
      </c>
      <c r="F22" s="62" t="n">
        <f aca="false">MAX(0,D22-3*SQRT(D22*(1-D22)/B22))</f>
        <v>0.506417707963328</v>
      </c>
      <c r="G22" s="64" t="n">
        <v>0.9</v>
      </c>
      <c r="H22" s="65" t="n">
        <f aca="false">(C22-D22)/E22</f>
        <v>-1.39644271468243</v>
      </c>
      <c r="I22" s="65" t="n">
        <f aca="false">IF(P22="y",I21,IF(K21,0,MAX(0,I21+H22-0.5)))</f>
        <v>0</v>
      </c>
      <c r="J22" s="65" t="n">
        <f aca="false">IF(P22="y",J21,IF(K21,0,MAX(0,J21-H22+0.5)))</f>
        <v>5.27785826374606</v>
      </c>
      <c r="K22" s="61" t="n">
        <f aca="false" t="array" ref="K22:K22">IFERROR(OR(ABS(I22)&gt;=4, ABS(J22)&gt;=4),FALSE())</f>
        <v>1</v>
      </c>
      <c r="L22" s="61" t="n">
        <f aca="false">IF(K21,0,L21+1)</f>
        <v>3</v>
      </c>
      <c r="M22" s="62" t="n">
        <f aca="false">IF(P22="y","",C22)</f>
        <v>0.344</v>
      </c>
      <c r="N22" s="61" t="n">
        <f aca="false">MIN(5,N21+1)</f>
        <v>5</v>
      </c>
      <c r="O22" s="66" t="str">
        <f aca="false">IF(C22&gt;=G22,"Yes","No")</f>
        <v>No</v>
      </c>
      <c r="P22" s="57"/>
    </row>
    <row r="23" customFormat="false" ht="15" hidden="false" customHeight="true" outlineLevel="0" collapsed="false">
      <c r="A23" s="53" t="n">
        <f aca="false">'Raw-Data'!N16</f>
        <v>46209</v>
      </c>
      <c r="B23" s="5" t="n">
        <f aca="false">'Raw-Data'!O16</f>
        <v>48</v>
      </c>
      <c r="C23" s="7" t="n">
        <f aca="false">'Raw-Data'!Q16</f>
        <v>0.218</v>
      </c>
      <c r="D23" s="7" t="n">
        <f aca="true">IF(NOT($K22),D22,AVERAGE(OFFSET($M22,-1*MAX($L22,N22),0):OFFSET($M22,0,0)))</f>
        <v>0.455333333333333</v>
      </c>
      <c r="E23" s="54" t="n">
        <f aca="true">IF(NOT($K22),E22,IFERROR(STDEV(OFFSET($M22,-1*MAX($L22,N22),0):OFFSET($M22,0,0)),E22))</f>
        <v>0.274346253239709</v>
      </c>
      <c r="F23" s="7" t="n">
        <f aca="false">MAX(0,D23-3*SQRT(D23*(1-D23)/B23))</f>
        <v>0.239692621345391</v>
      </c>
      <c r="G23" s="6" t="n">
        <v>0.9</v>
      </c>
      <c r="H23" s="55" t="n">
        <f aca="false">(C23-D23)/E23</f>
        <v>-0.86508684019083</v>
      </c>
      <c r="I23" s="55" t="n">
        <f aca="false">IF(P23="y",I22,IF(K22,0,MAX(0,I22+H23-0.5)))</f>
        <v>0</v>
      </c>
      <c r="J23" s="55" t="n">
        <f aca="false">IF(P23="y",J22,IF(K22,0,MAX(0,J22-H23+0.5)))</f>
        <v>0</v>
      </c>
      <c r="K23" s="56" t="n">
        <f aca="false" t="array" ref="K23:K23">IFERROR(OR(ABS(I23)&gt;=4, ABS(J23)&gt;=4),FALSE())</f>
        <v>0</v>
      </c>
      <c r="L23" s="5" t="n">
        <f aca="false">IF(K22,0,L22+1)</f>
        <v>0</v>
      </c>
      <c r="M23" s="7" t="n">
        <f aca="false">IF(P23="y","",C23)</f>
        <v>0.218</v>
      </c>
      <c r="N23" s="5" t="n">
        <f aca="false">MIN(5,N22+1)</f>
        <v>5</v>
      </c>
      <c r="O23" s="5" t="str">
        <f aca="false">IF(C23&gt;=G23,"Yes","No")</f>
        <v>No</v>
      </c>
      <c r="P23" s="57"/>
    </row>
    <row r="24" customFormat="false" ht="15" hidden="false" customHeight="true" outlineLevel="0" collapsed="false">
      <c r="A24" s="60" t="n">
        <f aca="false">'Raw-Data'!N15</f>
        <v>46210</v>
      </c>
      <c r="B24" s="61" t="n">
        <f aca="false">'Raw-Data'!O15</f>
        <v>41</v>
      </c>
      <c r="C24" s="62" t="n">
        <f aca="false">'Raw-Data'!Q15</f>
        <v>0.322</v>
      </c>
      <c r="D24" s="62" t="n">
        <f aca="true">IF(NOT($K23),D23,AVERAGE(OFFSET($M23,-1*MAX($L23,N23),0):OFFSET($M23,0,0)))</f>
        <v>0.455333333333333</v>
      </c>
      <c r="E24" s="63" t="n">
        <f aca="true">IF(NOT($K23),E23,IFERROR(STDEV(OFFSET($M23,-1*MAX($L23,N23),0):OFFSET($M23,0,0)),E23))</f>
        <v>0.274346253239709</v>
      </c>
      <c r="F24" s="62" t="n">
        <f aca="false">MAX(0,D24-3*SQRT(D24*(1-D24)/B24))</f>
        <v>0.222009314936222</v>
      </c>
      <c r="G24" s="64" t="n">
        <v>0.9</v>
      </c>
      <c r="H24" s="65" t="n">
        <f aca="false">(C24-D24)/E24</f>
        <v>-0.486003842803837</v>
      </c>
      <c r="I24" s="65" t="n">
        <f aca="false">IF(P24="y",I23,IF(K23,0,MAX(0,I23+H24-0.5)))</f>
        <v>0</v>
      </c>
      <c r="J24" s="65" t="n">
        <f aca="false">IF(P24="y",J23,IF(K23,0,MAX(0,J23-H24+0.5)))</f>
        <v>0.986003842803837</v>
      </c>
      <c r="K24" s="61" t="n">
        <f aca="false" t="array" ref="K24:K24">IFERROR(OR(ABS(I24)&gt;=4, ABS(J24)&gt;=4),FALSE())</f>
        <v>0</v>
      </c>
      <c r="L24" s="61" t="n">
        <f aca="false">IF(K23,0,L23+1)</f>
        <v>1</v>
      </c>
      <c r="M24" s="62" t="n">
        <f aca="false">IF(P24="y","",C24)</f>
        <v>0.322</v>
      </c>
      <c r="N24" s="61" t="n">
        <f aca="false">MIN(5,N23+1)</f>
        <v>5</v>
      </c>
      <c r="O24" s="66" t="str">
        <f aca="false">IF(C24&gt;=G24,"Yes","No")</f>
        <v>No</v>
      </c>
      <c r="P24" s="57"/>
    </row>
    <row r="25" customFormat="false" ht="15" hidden="false" customHeight="true" outlineLevel="0" collapsed="false">
      <c r="A25" s="53" t="n">
        <f aca="false">'Raw-Data'!N14</f>
        <v>46211</v>
      </c>
      <c r="B25" s="5" t="n">
        <f aca="false">'Raw-Data'!O14</f>
        <v>52</v>
      </c>
      <c r="C25" s="7" t="n">
        <f aca="false">'Raw-Data'!Q14</f>
        <v>0.73</v>
      </c>
      <c r="D25" s="7" t="n">
        <f aca="true">IF(NOT($K24),D24,AVERAGE(OFFSET($M24,-1*MAX($L24,N24),0):OFFSET($M24,0,0)))</f>
        <v>0.455333333333333</v>
      </c>
      <c r="E25" s="54" t="n">
        <f aca="true">IF(NOT($K24),E24,IFERROR(STDEV(OFFSET($M24,-1*MAX($L24,N24),0):OFFSET($M24,0,0)),E24))</f>
        <v>0.274346253239709</v>
      </c>
      <c r="F25" s="7" t="n">
        <f aca="false">MAX(0,D25-3*SQRT(D25*(1-D25)/B25))</f>
        <v>0.248152438758271</v>
      </c>
      <c r="G25" s="6" t="n">
        <v>0.9</v>
      </c>
      <c r="H25" s="55" t="n">
        <f aca="false">(C25-D25)/E25</f>
        <v>1.0011679161759</v>
      </c>
      <c r="I25" s="55" t="n">
        <f aca="false">IF(P25="y",I24,IF(K24,0,MAX(0,I24+H25-0.5)))</f>
        <v>0.501167916175904</v>
      </c>
      <c r="J25" s="55" t="n">
        <f aca="false">IF(P25="y",J24,IF(K24,0,MAX(0,J24-H25+0.5)))</f>
        <v>0.484835926627933</v>
      </c>
      <c r="K25" s="56" t="n">
        <f aca="false" t="array" ref="K25:K25">IFERROR(OR(ABS(I25)&gt;=4, ABS(J25)&gt;=4),FALSE())</f>
        <v>0</v>
      </c>
      <c r="L25" s="5" t="n">
        <f aca="false">IF(K24,0,L24+1)</f>
        <v>2</v>
      </c>
      <c r="M25" s="7" t="n">
        <f aca="false">IF(P25="y","",C25)</f>
        <v>0.73</v>
      </c>
      <c r="N25" s="5" t="n">
        <f aca="false">MIN(5,N24+1)</f>
        <v>5</v>
      </c>
      <c r="O25" s="5" t="str">
        <f aca="false">IF(C25&gt;=G25,"Yes","No")</f>
        <v>No</v>
      </c>
      <c r="P25" s="57"/>
    </row>
    <row r="26" customFormat="false" ht="15" hidden="false" customHeight="true" outlineLevel="0" collapsed="false">
      <c r="A26" s="60" t="n">
        <f aca="false">'Raw-Data'!N13</f>
        <v>46212</v>
      </c>
      <c r="B26" s="61" t="n">
        <f aca="false">'Raw-Data'!O13</f>
        <v>38</v>
      </c>
      <c r="C26" s="62" t="n">
        <f aca="false">'Raw-Data'!Q13</f>
        <v>0.547</v>
      </c>
      <c r="D26" s="62" t="n">
        <f aca="true">IF(NOT($K25),D25,AVERAGE(OFFSET($M25,-1*MAX($L25,N25),0):OFFSET($M25,0,0)))</f>
        <v>0.455333333333333</v>
      </c>
      <c r="E26" s="63" t="n">
        <f aca="true">IF(NOT($K25),E25,IFERROR(STDEV(OFFSET($M25,-1*MAX($L25,N25),0):OFFSET($M25,0,0)),E25))</f>
        <v>0.274346253239709</v>
      </c>
      <c r="F26" s="62" t="n">
        <f aca="false">MAX(0,D26-3*SQRT(D26*(1-D26)/B26))</f>
        <v>0.212974095836596</v>
      </c>
      <c r="G26" s="64" t="n">
        <v>0.9</v>
      </c>
      <c r="H26" s="65" t="n">
        <f aca="false">(C26-D26)/E26</f>
        <v>0.334127641927638</v>
      </c>
      <c r="I26" s="65" t="n">
        <f aca="false">IF(P26="y",I25,IF(K25,0,MAX(0,I25+H26-0.5)))</f>
        <v>0.335295558103543</v>
      </c>
      <c r="J26" s="65" t="n">
        <f aca="false">IF(P26="y",J25,IF(K25,0,MAX(0,J25-H26+0.5)))</f>
        <v>0.650708284700294</v>
      </c>
      <c r="K26" s="61" t="n">
        <f aca="false" t="array" ref="K26:K26">IFERROR(OR(ABS(I26)&gt;=4, ABS(J26)&gt;=4),FALSE())</f>
        <v>0</v>
      </c>
      <c r="L26" s="61" t="n">
        <f aca="false">IF(K25,0,L25+1)</f>
        <v>3</v>
      </c>
      <c r="M26" s="62" t="n">
        <f aca="false">IF(P26="y","",C26)</f>
        <v>0.547</v>
      </c>
      <c r="N26" s="61" t="n">
        <f aca="false">MIN(5,N25+1)</f>
        <v>5</v>
      </c>
      <c r="O26" s="66" t="str">
        <f aca="false">IF(C26&gt;=G26,"Yes","No")</f>
        <v>No</v>
      </c>
      <c r="P26" s="57"/>
    </row>
    <row r="27" customFormat="false" ht="15" hidden="false" customHeight="true" outlineLevel="0" collapsed="false">
      <c r="A27" s="53" t="n">
        <f aca="false">'Raw-Data'!N12</f>
        <v>46213</v>
      </c>
      <c r="B27" s="5" t="n">
        <f aca="false">'Raw-Data'!O12</f>
        <v>42</v>
      </c>
      <c r="C27" s="7" t="n">
        <f aca="false">'Raw-Data'!Q12</f>
        <v>0.727</v>
      </c>
      <c r="D27" s="7" t="n">
        <f aca="true">IF(NOT($K26),D26,AVERAGE(OFFSET($M26,-1*MAX($L26,N26),0):OFFSET($M26,0,0)))</f>
        <v>0.455333333333333</v>
      </c>
      <c r="E27" s="54" t="n">
        <f aca="true">IF(NOT($K26),E26,IFERROR(STDEV(OFFSET($M26,-1*MAX($L26,N26),0):OFFSET($M26,0,0)),E26))</f>
        <v>0.274346253239709</v>
      </c>
      <c r="F27" s="7" t="n">
        <f aca="false">MAX(0,D27-3*SQRT(D27*(1-D27)/B27))</f>
        <v>0.224803715362226</v>
      </c>
      <c r="G27" s="6" t="n">
        <v>0.9</v>
      </c>
      <c r="H27" s="55" t="n">
        <f aca="false">(C27-D27)/E27</f>
        <v>0.990232829712818</v>
      </c>
      <c r="I27" s="55" t="n">
        <f aca="false">IF(P27="y",I26,IF(K26,0,MAX(0,I26+H27-0.5)))</f>
        <v>0.825528387816361</v>
      </c>
      <c r="J27" s="55" t="n">
        <f aca="false">IF(P27="y",J26,IF(K26,0,MAX(0,J26-H27+0.5)))</f>
        <v>0.160475454987476</v>
      </c>
      <c r="K27" s="56" t="n">
        <f aca="false" t="array" ref="K27:K27">IFERROR(OR(ABS(I27)&gt;=4, ABS(J27)&gt;=4),FALSE())</f>
        <v>0</v>
      </c>
      <c r="L27" s="5" t="n">
        <f aca="false">IF(K26,0,L26+1)</f>
        <v>4</v>
      </c>
      <c r="M27" s="7" t="n">
        <f aca="false">IF(P27="y","",C27)</f>
        <v>0.727</v>
      </c>
      <c r="N27" s="5" t="n">
        <f aca="false">MIN(5,N26+1)</f>
        <v>5</v>
      </c>
      <c r="O27" s="5" t="str">
        <f aca="false">IF(C27&gt;=G27,"Yes","No")</f>
        <v>No</v>
      </c>
      <c r="P27" s="57"/>
    </row>
    <row r="28" customFormat="false" ht="15" hidden="false" customHeight="true" outlineLevel="0" collapsed="false">
      <c r="A28" s="60" t="n">
        <f aca="false">'Raw-Data'!N11</f>
        <v>46214</v>
      </c>
      <c r="B28" s="61" t="n">
        <f aca="false">'Raw-Data'!O11</f>
        <v>48</v>
      </c>
      <c r="C28" s="62" t="n">
        <f aca="false">'Raw-Data'!Q11</f>
        <v>0.879</v>
      </c>
      <c r="D28" s="62" t="n">
        <f aca="true">IF(NOT($K27),D27,AVERAGE(OFFSET($M27,-1*MAX($L27,N27),0):OFFSET($M27,0,0)))</f>
        <v>0.455333333333333</v>
      </c>
      <c r="E28" s="63" t="n">
        <f aca="true">IF(NOT($K27),E27,IFERROR(STDEV(OFFSET($M27,-1*MAX($L27,N27),0):OFFSET($M27,0,0)),E27))</f>
        <v>0.274346253239709</v>
      </c>
      <c r="F28" s="62" t="n">
        <f aca="false">MAX(0,D28-3*SQRT(D28*(1-D28)/B28))</f>
        <v>0.239692621345391</v>
      </c>
      <c r="G28" s="64" t="n">
        <v>0.9</v>
      </c>
      <c r="H28" s="65" t="n">
        <f aca="false">(C28-D28)/E28</f>
        <v>1.54427721050919</v>
      </c>
      <c r="I28" s="65" t="n">
        <f aca="false">IF(P28="y",I27,IF(K27,0,MAX(0,I27+H28-0.5)))</f>
        <v>1.86980559832555</v>
      </c>
      <c r="J28" s="65" t="n">
        <f aca="false">IF(P28="y",J27,IF(K27,0,MAX(0,J27-H28+0.5)))</f>
        <v>0</v>
      </c>
      <c r="K28" s="61" t="n">
        <f aca="false" t="array" ref="K28:K28">IFERROR(OR(ABS(I28)&gt;=4, ABS(J28)&gt;=4),FALSE())</f>
        <v>0</v>
      </c>
      <c r="L28" s="61" t="n">
        <f aca="false">IF(K27,0,L27+1)</f>
        <v>5</v>
      </c>
      <c r="M28" s="62" t="n">
        <f aca="false">IF(P28="y","",C28)</f>
        <v>0.879</v>
      </c>
      <c r="N28" s="61" t="n">
        <f aca="false">MIN(5,N27+1)</f>
        <v>5</v>
      </c>
      <c r="O28" s="66" t="str">
        <f aca="false">IF(C28&gt;=G28,"Yes","No")</f>
        <v>No</v>
      </c>
      <c r="P28" s="57"/>
    </row>
    <row r="29" customFormat="false" ht="15" hidden="false" customHeight="true" outlineLevel="0" collapsed="false">
      <c r="A29" s="53" t="n">
        <f aca="false">'Raw-Data'!N10</f>
        <v>46215</v>
      </c>
      <c r="B29" s="5" t="n">
        <f aca="false">'Raw-Data'!O10</f>
        <v>45</v>
      </c>
      <c r="C29" s="7" t="n">
        <f aca="false">'Raw-Data'!Q10</f>
        <v>0.441</v>
      </c>
      <c r="D29" s="7" t="n">
        <f aca="true">IF(NOT($K28),D28,AVERAGE(OFFSET($M28,-1*MAX($L28,N28),0):OFFSET($M28,0,0)))</f>
        <v>0.455333333333333</v>
      </c>
      <c r="E29" s="54" t="n">
        <f aca="true">IF(NOT($K28),E28,IFERROR(STDEV(OFFSET($M28,-1*MAX($L28,N28),0):OFFSET($M28,0,0)),E28))</f>
        <v>0.274346253239709</v>
      </c>
      <c r="F29" s="7" t="n">
        <f aca="false">MAX(0,D29-3*SQRT(D29*(1-D29)/B29))</f>
        <v>0.232620563655037</v>
      </c>
      <c r="G29" s="6" t="n">
        <v>0.9</v>
      </c>
      <c r="H29" s="55" t="n">
        <f aca="false">(C29-D29)/E29</f>
        <v>-0.0522454131014124</v>
      </c>
      <c r="I29" s="55" t="n">
        <f aca="false">IF(P29="y",I28,IF(K28,0,MAX(0,I28+H29-0.5)))</f>
        <v>1.31756018522414</v>
      </c>
      <c r="J29" s="55" t="n">
        <f aca="false">IF(P29="y",J28,IF(K28,0,MAX(0,J28-H29+0.5)))</f>
        <v>0.552245413101412</v>
      </c>
      <c r="K29" s="56" t="n">
        <f aca="false" t="array" ref="K29:K29">IFERROR(OR(ABS(I29)&gt;=4, ABS(J29)&gt;=4),FALSE())</f>
        <v>0</v>
      </c>
      <c r="L29" s="5" t="n">
        <f aca="false">IF(K28,0,L28+1)</f>
        <v>6</v>
      </c>
      <c r="M29" s="7" t="n">
        <f aca="false">IF(P29="y","",C29)</f>
        <v>0.441</v>
      </c>
      <c r="N29" s="5" t="n">
        <f aca="false">MIN(5,N28+1)</f>
        <v>5</v>
      </c>
      <c r="O29" s="5" t="str">
        <f aca="false">IF(C29&gt;=G29,"Yes","No")</f>
        <v>No</v>
      </c>
      <c r="P29" s="57"/>
    </row>
    <row r="30" customFormat="false" ht="15" hidden="false" customHeight="true" outlineLevel="0" collapsed="false">
      <c r="A30" s="60" t="n">
        <f aca="false">'Raw-Data'!N9</f>
        <v>46216</v>
      </c>
      <c r="B30" s="61" t="n">
        <f aca="false">'Raw-Data'!O9</f>
        <v>60</v>
      </c>
      <c r="C30" s="62" t="n">
        <f aca="false">'Raw-Data'!Q9</f>
        <v>0.705</v>
      </c>
      <c r="D30" s="62" t="n">
        <f aca="true">IF(NOT($K29),D29,AVERAGE(OFFSET($M29,-1*MAX($L29,N29),0):OFFSET($M29,0,0)))</f>
        <v>0.455333333333333</v>
      </c>
      <c r="E30" s="63" t="n">
        <f aca="true">IF(NOT($K29),E29,IFERROR(STDEV(OFFSET($M29,-1*MAX($L29,N29),0):OFFSET($M29,0,0)),E29))</f>
        <v>0.274346253239709</v>
      </c>
      <c r="F30" s="62" t="n">
        <f aca="false">MAX(0,D30-3*SQRT(D30*(1-D30)/B30))</f>
        <v>0.262458417044736</v>
      </c>
      <c r="G30" s="64" t="n">
        <v>0.9</v>
      </c>
      <c r="H30" s="65" t="n">
        <f aca="false">(C30-D30)/E30</f>
        <v>0.910042195650185</v>
      </c>
      <c r="I30" s="65" t="n">
        <f aca="false">IF(P30="y",I29,IF(K29,0,MAX(0,I29+H30-0.5)))</f>
        <v>1.72760238087433</v>
      </c>
      <c r="J30" s="65" t="n">
        <f aca="false">IF(P30="y",J29,IF(K29,0,MAX(0,J29-H30+0.5)))</f>
        <v>0.142203217451227</v>
      </c>
      <c r="K30" s="61" t="n">
        <f aca="false" t="array" ref="K30:K30">IFERROR(OR(ABS(I30)&gt;=4, ABS(J30)&gt;=4),FALSE())</f>
        <v>0</v>
      </c>
      <c r="L30" s="61" t="n">
        <f aca="false">IF(K29,0,L29+1)</f>
        <v>7</v>
      </c>
      <c r="M30" s="62" t="n">
        <f aca="false">IF(P30="y","",C30)</f>
        <v>0.705</v>
      </c>
      <c r="N30" s="61" t="n">
        <f aca="false">MIN(5,N29+1)</f>
        <v>5</v>
      </c>
      <c r="O30" s="66" t="str">
        <f aca="false">IF(C30&gt;=G30,"Yes","No")</f>
        <v>No</v>
      </c>
      <c r="P30" s="57"/>
    </row>
    <row r="31" customFormat="false" ht="15" hidden="false" customHeight="true" outlineLevel="0" collapsed="false">
      <c r="A31" s="53" t="n">
        <f aca="false">'Raw-Data'!N8</f>
        <v>46217</v>
      </c>
      <c r="B31" s="5" t="n">
        <f aca="false">'Raw-Data'!O8</f>
        <v>54</v>
      </c>
      <c r="C31" s="7" t="n">
        <f aca="false">'Raw-Data'!Q8</f>
        <v>0.438</v>
      </c>
      <c r="D31" s="7" t="n">
        <f aca="true">IF(NOT($K30),D30,AVERAGE(OFFSET($M30,-1*MAX($L30,N30),0):OFFSET($M30,0,0)))</f>
        <v>0.455333333333333</v>
      </c>
      <c r="E31" s="54" t="n">
        <f aca="true">IF(NOT($K30),E30,IFERROR(STDEV(OFFSET($M30,-1*MAX($L30,N30),0):OFFSET($M30,0,0)),E30))</f>
        <v>0.274346253239709</v>
      </c>
      <c r="F31" s="7" t="n">
        <f aca="false">MAX(0,D31-3*SQRT(D31*(1-D31)/B31))</f>
        <v>0.252025320337908</v>
      </c>
      <c r="G31" s="6" t="n">
        <v>0.9</v>
      </c>
      <c r="H31" s="55" t="n">
        <f aca="false">(C31-D31)/E31</f>
        <v>-0.0631804995644987</v>
      </c>
      <c r="I31" s="55" t="n">
        <f aca="false">IF(P31="y",I30,IF(K30,0,MAX(0,I30+H31-0.5)))</f>
        <v>1.16442188130983</v>
      </c>
      <c r="J31" s="55" t="n">
        <f aca="false">IF(P31="y",J30,IF(K30,0,MAX(0,J30-H31+0.5)))</f>
        <v>0.705383717015726</v>
      </c>
      <c r="K31" s="56" t="n">
        <f aca="false" t="array" ref="K31:K31">IFERROR(OR(ABS(I31)&gt;=4, ABS(J31)&gt;=4),FALSE())</f>
        <v>0</v>
      </c>
      <c r="L31" s="5" t="n">
        <f aca="false">IF(K30,0,L30+1)</f>
        <v>8</v>
      </c>
      <c r="M31" s="7" t="n">
        <f aca="false">IF(P31="y","",C31)</f>
        <v>0.438</v>
      </c>
      <c r="N31" s="5" t="n">
        <f aca="false">MIN(5,N30+1)</f>
        <v>5</v>
      </c>
      <c r="O31" s="5" t="str">
        <f aca="false">IF(C31&gt;=G31,"Yes","No")</f>
        <v>No</v>
      </c>
      <c r="P31" s="57"/>
    </row>
    <row r="32" customFormat="false" ht="15" hidden="false" customHeight="true" outlineLevel="0" collapsed="false">
      <c r="A32" s="60" t="n">
        <f aca="false">'Raw-Data'!N7</f>
        <v>46218</v>
      </c>
      <c r="B32" s="61" t="n">
        <f aca="false">'Raw-Data'!O7</f>
        <v>66</v>
      </c>
      <c r="C32" s="62" t="n">
        <f aca="false">'Raw-Data'!Q7</f>
        <v>0.7222</v>
      </c>
      <c r="D32" s="62" t="n">
        <f aca="true">IF(NOT($K31),D31,AVERAGE(OFFSET($M31,-1*MAX($L31,N31),0):OFFSET($M31,0,0)))</f>
        <v>0.455333333333333</v>
      </c>
      <c r="E32" s="63" t="n">
        <f aca="true">IF(NOT($K31),E31,IFERROR(STDEV(OFFSET($M31,-1*MAX($L31,N31),0):OFFSET($M31,0,0)),E31))</f>
        <v>0.274346253239709</v>
      </c>
      <c r="F32" s="62" t="n">
        <f aca="false">MAX(0,D32-3*SQRT(D32*(1-D32)/B32))</f>
        <v>0.271434316248281</v>
      </c>
      <c r="G32" s="64" t="n">
        <v>0.9</v>
      </c>
      <c r="H32" s="65" t="n">
        <f aca="false">(C32-D32)/E32</f>
        <v>0.97273669137188</v>
      </c>
      <c r="I32" s="65" t="n">
        <f aca="false">IF(P32="y",I31,IF(K31,0,MAX(0,I31+H32-0.5)))</f>
        <v>1.63715857268171</v>
      </c>
      <c r="J32" s="65" t="n">
        <f aca="false">IF(P32="y",J31,IF(K31,0,MAX(0,J31-H32+0.5)))</f>
        <v>0.232647025643846</v>
      </c>
      <c r="K32" s="61" t="n">
        <f aca="false" t="array" ref="K32:K32">IFERROR(OR(ABS(I32)&gt;=4, ABS(J32)&gt;=4),FALSE())</f>
        <v>0</v>
      </c>
      <c r="L32" s="61" t="n">
        <f aca="false">IF(K31,0,L31+1)</f>
        <v>9</v>
      </c>
      <c r="M32" s="62" t="n">
        <f aca="false">IF(P32="y","",C32)</f>
        <v>0.7222</v>
      </c>
      <c r="N32" s="61" t="n">
        <f aca="false">MIN(5,N31+1)</f>
        <v>5</v>
      </c>
      <c r="O32" s="66" t="str">
        <f aca="false">IF(C32&gt;=G32,"Yes","No")</f>
        <v>No</v>
      </c>
      <c r="P32" s="57"/>
    </row>
    <row r="33" customFormat="false" ht="15" hidden="false" customHeight="true" outlineLevel="0" collapsed="false">
      <c r="A33" s="53" t="n">
        <f aca="false">'Raw-Data'!N6</f>
        <v>46219</v>
      </c>
      <c r="B33" s="5" t="n">
        <f aca="false">'Raw-Data'!O6</f>
        <v>54</v>
      </c>
      <c r="C33" s="7" t="n">
        <f aca="false">'Raw-Data'!Q6</f>
        <v>0.6219</v>
      </c>
      <c r="D33" s="7" t="n">
        <f aca="true">IF(NOT($K32),D32,AVERAGE(OFFSET($M32,-1*MAX($L32,N32),0):OFFSET($M32,0,0)))</f>
        <v>0.455333333333333</v>
      </c>
      <c r="E33" s="54" t="n">
        <f aca="true">IF(NOT($K32),E32,IFERROR(STDEV(OFFSET($M32,-1*MAX($L32,N32),0):OFFSET($M32,0,0)),E32))</f>
        <v>0.274346253239709</v>
      </c>
      <c r="F33" s="7" t="n">
        <f aca="false">MAX(0,D33-3*SQRT(D33*(1-D33)/B33))</f>
        <v>0.252025320337908</v>
      </c>
      <c r="G33" s="6" t="n">
        <v>0.9</v>
      </c>
      <c r="H33" s="55" t="n">
        <f aca="false">(C33-D33)/E33</f>
        <v>0.607140300622694</v>
      </c>
      <c r="I33" s="55" t="n">
        <f aca="false">IF(P33="y",I32,IF(K32,0,MAX(0,I32+H33-0.5)))</f>
        <v>1.7442988733044</v>
      </c>
      <c r="J33" s="55" t="n">
        <f aca="false">IF(P33="y",J32,IF(K32,0,MAX(0,J32-H33+0.5)))</f>
        <v>0.125506725021153</v>
      </c>
      <c r="K33" s="56" t="n">
        <f aca="false" t="array" ref="K33:K33">IFERROR(OR(ABS(I33)&gt;=4, ABS(J33)&gt;=4),FALSE())</f>
        <v>0</v>
      </c>
      <c r="L33" s="5" t="n">
        <f aca="false">IF(K32,0,L32+1)</f>
        <v>10</v>
      </c>
      <c r="M33" s="7" t="n">
        <f aca="false">IF(P33="y","",C33)</f>
        <v>0.6219</v>
      </c>
      <c r="N33" s="5" t="n">
        <f aca="false">MIN(5,N32+1)</f>
        <v>5</v>
      </c>
      <c r="O33" s="5" t="str">
        <f aca="false">IF(C33&gt;=G33,"Yes","No")</f>
        <v>No</v>
      </c>
      <c r="P33" s="57"/>
    </row>
    <row r="34" customFormat="false" ht="15" hidden="false" customHeight="true" outlineLevel="0" collapsed="false">
      <c r="A34" s="60" t="n">
        <f aca="false">'Raw-Data'!N5</f>
        <v>46220</v>
      </c>
      <c r="B34" s="61" t="n">
        <f aca="false">'Raw-Data'!O5</f>
        <v>49</v>
      </c>
      <c r="C34" s="62" t="n">
        <f aca="false">'Raw-Data'!Q5</f>
        <v>0.686</v>
      </c>
      <c r="D34" s="62" t="n">
        <f aca="true">IF(NOT($K33),D33,AVERAGE(OFFSET($M33,-1*MAX($L33,N33),0):OFFSET($M33,0,0)))</f>
        <v>0.455333333333333</v>
      </c>
      <c r="E34" s="63" t="n">
        <f aca="true">IF(NOT($K33),E33,IFERROR(STDEV(OFFSET($M33,-1*MAX($L33,N33),0):OFFSET($M33,0,0)),E33))</f>
        <v>0.274346253239709</v>
      </c>
      <c r="F34" s="62" t="n">
        <f aca="false">MAX(0,D34-3*SQRT(D34*(1-D34)/B34))</f>
        <v>0.241904379422794</v>
      </c>
      <c r="G34" s="64" t="n">
        <v>0.9</v>
      </c>
      <c r="H34" s="65" t="n">
        <f aca="false">(C34-D34)/E34</f>
        <v>0.840786648050638</v>
      </c>
      <c r="I34" s="65" t="n">
        <f aca="false">IF(P34="y",I33,IF(K33,0,MAX(0,I33+H34-0.5)))</f>
        <v>2.08508552135504</v>
      </c>
      <c r="J34" s="65" t="n">
        <f aca="false">IF(P34="y",J33,IF(K33,0,MAX(0,J33-H34+0.5)))</f>
        <v>0</v>
      </c>
      <c r="K34" s="61" t="n">
        <f aca="false" t="array" ref="K34:K34">IFERROR(OR(ABS(I34)&gt;=4, ABS(J34)&gt;=4),FALSE())</f>
        <v>0</v>
      </c>
      <c r="L34" s="61" t="n">
        <f aca="false">IF(K33,0,L33+1)</f>
        <v>11</v>
      </c>
      <c r="M34" s="62" t="n">
        <f aca="false">IF(P34="y","",C34)</f>
        <v>0.686</v>
      </c>
      <c r="N34" s="61" t="n">
        <f aca="false">MIN(5,N33+1)</f>
        <v>5</v>
      </c>
      <c r="O34" s="66" t="str">
        <f aca="false">IF(C34&gt;=G34,"Yes","No")</f>
        <v>No</v>
      </c>
      <c r="P34" s="57"/>
    </row>
    <row r="35" customFormat="false" ht="15" hidden="false" customHeight="true" outlineLevel="0" collapsed="false">
      <c r="A35" s="53" t="n">
        <f aca="false">'Raw-Data'!N4</f>
        <v>46221</v>
      </c>
      <c r="B35" s="5" t="n">
        <f aca="false">'Raw-Data'!O4</f>
        <v>58</v>
      </c>
      <c r="C35" s="7" t="n">
        <f aca="false">'Raw-Data'!Q4</f>
        <v>0.6959</v>
      </c>
      <c r="D35" s="7" t="n">
        <f aca="true">IF(NOT($K34),D34,AVERAGE(OFFSET($M34,-1*MAX($L34,N34),0):OFFSET($M34,0,0)))</f>
        <v>0.455333333333333</v>
      </c>
      <c r="E35" s="54" t="n">
        <f aca="true">IF(NOT($K34),E34,IFERROR(STDEV(OFFSET($M34,-1*MAX($L34,N34),0):OFFSET($M34,0,0)),E34))</f>
        <v>0.274346253239709</v>
      </c>
      <c r="F35" s="7" t="n">
        <f aca="false">MAX(0,D35-3*SQRT(D35*(1-D35)/B35))</f>
        <v>0.259161171084508</v>
      </c>
      <c r="G35" s="6" t="n">
        <v>0.9</v>
      </c>
      <c r="H35" s="55" t="n">
        <f aca="false">(C35-D35)/E35</f>
        <v>0.876872433378823</v>
      </c>
      <c r="I35" s="55" t="n">
        <f aca="false">IF(P35="y",I34,IF(K34,0,MAX(0,I34+H35-0.5)))</f>
        <v>2.46195795473386</v>
      </c>
      <c r="J35" s="55" t="n">
        <f aca="false">IF(P35="y",J34,IF(K34,0,MAX(0,J34-H35+0.5)))</f>
        <v>0</v>
      </c>
      <c r="K35" s="56" t="n">
        <f aca="false" t="array" ref="K35:K35">IFERROR(OR(ABS(I35)&gt;=4, ABS(J35)&gt;=4),FALSE())</f>
        <v>0</v>
      </c>
      <c r="L35" s="5" t="n">
        <f aca="false">IF(K34,0,L34+1)</f>
        <v>12</v>
      </c>
      <c r="M35" s="7" t="n">
        <f aca="false">IF(P35="y","",C35)</f>
        <v>0.6959</v>
      </c>
      <c r="N35" s="5" t="n">
        <f aca="false">MIN(5,N34+1)</f>
        <v>5</v>
      </c>
      <c r="O35" s="5" t="str">
        <f aca="false">IF(C35&gt;=G35,"Yes","No")</f>
        <v>No</v>
      </c>
      <c r="P35" s="57"/>
    </row>
    <row r="36" customFormat="false" ht="15" hidden="false" customHeight="true" outlineLevel="0" collapsed="false">
      <c r="A36" s="60" t="n">
        <f aca="false">'Raw-Data'!N3</f>
        <v>46222</v>
      </c>
      <c r="B36" s="61" t="n">
        <f aca="false">'Raw-Data'!O3</f>
        <v>63</v>
      </c>
      <c r="C36" s="62" t="n">
        <f aca="false">'Raw-Data'!Q3</f>
        <v>0.6081</v>
      </c>
      <c r="D36" s="62" t="n">
        <f aca="true">IF(NOT($K35),D35,AVERAGE(OFFSET($M35,-1*MAX($L35,N35),0):OFFSET($M35,0,0)))</f>
        <v>0.455333333333333</v>
      </c>
      <c r="E36" s="63" t="n">
        <f aca="true">IF(NOT($K35),E35,IFERROR(STDEV(OFFSET($M35,-1*MAX($L35,N35),0):OFFSET($M35,0,0)),E35))</f>
        <v>0.274346253239709</v>
      </c>
      <c r="F36" s="62" t="n">
        <f aca="false">MAX(0,D36-3*SQRT(D36*(1-D36)/B36))</f>
        <v>0.267106688457349</v>
      </c>
      <c r="G36" s="64" t="n">
        <v>0.9</v>
      </c>
      <c r="H36" s="65" t="n">
        <f aca="false">(C36-D36)/E36</f>
        <v>0.556838902892496</v>
      </c>
      <c r="I36" s="65" t="n">
        <f aca="false">IF(P36="y",I35,IF(K35,0,MAX(0,I35+H36-0.5)))</f>
        <v>2.51879685762636</v>
      </c>
      <c r="J36" s="65" t="n">
        <f aca="false">IF(P36="y",J35,IF(K35,0,MAX(0,J35-H36+0.5)))</f>
        <v>0</v>
      </c>
      <c r="K36" s="61" t="n">
        <f aca="false" t="array" ref="K36:K36">IFERROR(OR(ABS(I36)&gt;=4, ABS(J36)&gt;=4),FALSE())</f>
        <v>0</v>
      </c>
      <c r="L36" s="61" t="n">
        <f aca="false">IF(K35,0,L35+1)</f>
        <v>13</v>
      </c>
      <c r="M36" s="62" t="n">
        <f aca="false">IF(P36="y","",C36)</f>
        <v>0.6081</v>
      </c>
      <c r="N36" s="61" t="n">
        <f aca="false">MIN(5,N35+1)</f>
        <v>5</v>
      </c>
      <c r="O36" s="66" t="str">
        <f aca="false">IF(C36&gt;=G36,"Yes","No")</f>
        <v>No</v>
      </c>
      <c r="P36" s="57"/>
    </row>
    <row r="39" customFormat="false" ht="15" hidden="false" customHeight="false" outlineLevel="0" collapsed="false">
      <c r="A39" s="70" t="s">
        <v>53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</row>
    <row r="41" customFormat="false" ht="15" hidden="false" customHeight="false" outlineLevel="0" collapsed="false">
      <c r="A41" s="71" t="s">
        <v>54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</row>
    <row r="42" customFormat="false" ht="15" hidden="false" customHeight="true" outlineLevel="0" collapsed="false">
      <c r="A42" s="72" t="s">
        <v>65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</row>
    <row r="45" customFormat="false" ht="15" hidden="false" customHeight="false" outlineLevel="0" collapsed="false">
      <c r="A45" s="71" t="s">
        <v>56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</row>
    <row r="46" customFormat="false" ht="15" hidden="false" customHeight="true" outlineLevel="0" collapsed="false">
      <c r="A46" s="72" t="s">
        <v>66</v>
      </c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</row>
    <row r="47" customFormat="false" ht="15" hidden="false" customHeight="false" outlineLevel="0" collapsed="false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</row>
    <row r="48" customFormat="false" ht="15" hidden="false" customHeight="false" outlineLevel="0" collapsed="false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</row>
  </sheetData>
  <mergeCells count="8">
    <mergeCell ref="A1:O1"/>
    <mergeCell ref="A2:O2"/>
    <mergeCell ref="R4:S4"/>
    <mergeCell ref="A39:O39"/>
    <mergeCell ref="A41:O41"/>
    <mergeCell ref="A42:O42"/>
    <mergeCell ref="A45:O45"/>
    <mergeCell ref="A46:O48"/>
  </mergeCells>
  <conditionalFormatting sqref="K5:K36">
    <cfRule type="cellIs" priority="2" operator="equal" aboveAverage="0" equalAverage="0" bottom="0" percent="0" rank="0" text="" dxfId="0">
      <formula>1</formula>
    </cfRule>
  </conditionalFormatting>
  <conditionalFormatting sqref="O5:O36"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9" width="13"/>
    <col collapsed="false" customWidth="true" hidden="false" outlineLevel="0" max="2" min="2" style="49" width="14"/>
    <col collapsed="false" customWidth="true" hidden="false" outlineLevel="0" max="3" min="3" style="49" width="15"/>
    <col collapsed="false" customWidth="true" hidden="false" outlineLevel="0" max="4" min="4" style="49" width="12"/>
    <col collapsed="false" customWidth="true" hidden="false" outlineLevel="0" max="6" min="5" style="49" width="11"/>
    <col collapsed="false" customWidth="true" hidden="false" outlineLevel="0" max="8" min="7" style="49" width="10"/>
    <col collapsed="false" customWidth="true" hidden="false" outlineLevel="0" max="10" min="9" style="49" width="9"/>
    <col collapsed="false" customWidth="true" hidden="false" outlineLevel="0" max="11" min="11" style="49" width="14"/>
    <col collapsed="false" customWidth="true" hidden="false" outlineLevel="0" max="12" min="12" style="49" width="9"/>
    <col collapsed="false" customWidth="true" hidden="false" outlineLevel="0" max="13" min="13" style="49" width="15"/>
    <col collapsed="false" customWidth="true" hidden="false" outlineLevel="0" max="14" min="14" style="49" width="8"/>
    <col collapsed="false" customWidth="true" hidden="false" outlineLevel="0" max="15" min="15" style="49" width="13"/>
    <col collapsed="false" customWidth="true" hidden="false" outlineLevel="0" max="16" min="16" style="49" width="9"/>
    <col collapsed="false" customWidth="true" hidden="false" outlineLevel="0" max="18" min="18" style="49" width="30"/>
    <col collapsed="false" customWidth="true" hidden="false" outlineLevel="0" max="19" min="19" style="49" width="14"/>
  </cols>
  <sheetData>
    <row r="1" customFormat="false" ht="18" hidden="false" customHeight="true" outlineLevel="0" collapsed="false">
      <c r="A1" s="50" t="s">
        <v>67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customFormat="false" ht="15" hidden="false" customHeight="true" outlineLevel="0" collapsed="false">
      <c r="A2" s="51" t="s">
        <v>31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4" customFormat="false" ht="15" hidden="false" customHeight="true" outlineLevel="0" collapsed="false">
      <c r="A4" s="3" t="s">
        <v>20</v>
      </c>
      <c r="B4" s="3" t="s">
        <v>32</v>
      </c>
      <c r="C4" s="3" t="s">
        <v>10</v>
      </c>
      <c r="D4" s="3" t="s">
        <v>33</v>
      </c>
      <c r="E4" s="3" t="s">
        <v>34</v>
      </c>
      <c r="F4" s="3" t="s">
        <v>35</v>
      </c>
      <c r="G4" s="3" t="s">
        <v>4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R4" s="52" t="s">
        <v>45</v>
      </c>
      <c r="S4" s="52"/>
    </row>
    <row r="5" customFormat="false" ht="15" hidden="false" customHeight="true" outlineLevel="0" collapsed="false">
      <c r="A5" s="53" t="n">
        <f aca="false">'Raw-Data'!A39</f>
        <v>46186</v>
      </c>
      <c r="B5" s="5" t="n">
        <f aca="false">'Raw-Data'!B39</f>
        <v>125</v>
      </c>
      <c r="C5" s="7" t="n">
        <f aca="false">'Raw-Data'!C39</f>
        <v>0.939393939393939</v>
      </c>
      <c r="D5" s="7" t="n">
        <v>0.9</v>
      </c>
      <c r="E5" s="54" t="n">
        <v>0.05</v>
      </c>
      <c r="F5" s="7" t="n">
        <f aca="false">MAX(0,D5-3*SQRT(D5*(1-D5)/B5))</f>
        <v>0.819501552810008</v>
      </c>
      <c r="G5" s="6" t="n">
        <v>0.95</v>
      </c>
      <c r="H5" s="55" t="n">
        <f aca="false">(C5-D5)/E5</f>
        <v>0.78787878787878</v>
      </c>
      <c r="I5" s="55" t="n">
        <v>0</v>
      </c>
      <c r="J5" s="55" t="n">
        <v>0</v>
      </c>
      <c r="K5" s="56" t="n">
        <f aca="false" t="array" ref="K5:K5">IFERROR(OR(ABS(I5)&gt;=4, ABS(J5)&gt;=4),FALSE())</f>
        <v>0</v>
      </c>
      <c r="L5" s="5" t="n">
        <v>0</v>
      </c>
      <c r="M5" s="7" t="n">
        <f aca="false">IF(P5="y","",C5)</f>
        <v>0.939393939393939</v>
      </c>
      <c r="N5" s="5" t="n">
        <v>1</v>
      </c>
      <c r="O5" s="5" t="str">
        <f aca="false">IF(C5&gt;=G5,"Yes","No")</f>
        <v>No</v>
      </c>
      <c r="P5" s="57"/>
      <c r="R5" s="58" t="s">
        <v>4</v>
      </c>
      <c r="S5" s="59" t="n">
        <v>0.95</v>
      </c>
    </row>
    <row r="6" customFormat="false" ht="15" hidden="false" customHeight="true" outlineLevel="0" collapsed="false">
      <c r="A6" s="60" t="n">
        <f aca="false">'Raw-Data'!A38</f>
        <v>46187</v>
      </c>
      <c r="B6" s="61" t="n">
        <f aca="false">'Raw-Data'!B38</f>
        <v>112</v>
      </c>
      <c r="C6" s="62" t="n">
        <f aca="false">'Raw-Data'!C38</f>
        <v>0.9375</v>
      </c>
      <c r="D6" s="62" t="n">
        <f aca="true">IF(NOT($K5),D5,AVERAGE(OFFSET($M5,-1*MAX($L5,N5),0):OFFSET($M5,0,0)))</f>
        <v>0.9</v>
      </c>
      <c r="E6" s="63" t="n">
        <f aca="true">IF(NOT($K5),E5,IFERROR(STDEV(OFFSET($M5,-1*MAX($L5,N5),0):OFFSET($M5,0,0)),E5))</f>
        <v>0.05</v>
      </c>
      <c r="F6" s="62" t="n">
        <f aca="false">MAX(0,D6-3*SQRT(D6*(1-D6)/B6))</f>
        <v>0.814957993572924</v>
      </c>
      <c r="G6" s="64" t="n">
        <v>0.95</v>
      </c>
      <c r="H6" s="65" t="n">
        <f aca="false">(C6-D6)/E6</f>
        <v>0.75</v>
      </c>
      <c r="I6" s="65" t="n">
        <f aca="false">IF(P6="y",I5,IF(K5,0,MAX(0,I5+H6-0.5)))</f>
        <v>0.25</v>
      </c>
      <c r="J6" s="65" t="n">
        <f aca="false">IF(P6="y",J5,IF(K5,0,MAX(0,J5-H6+0.5)))</f>
        <v>0</v>
      </c>
      <c r="K6" s="61" t="n">
        <f aca="false" t="array" ref="K6:K6">IFERROR(OR(ABS(I6)&gt;=4, ABS(J6)&gt;=4),FALSE())</f>
        <v>0</v>
      </c>
      <c r="L6" s="61" t="n">
        <f aca="false">IF(K5,0,L5+1)</f>
        <v>1</v>
      </c>
      <c r="M6" s="62" t="n">
        <f aca="false">IF(P6="y","",C6)</f>
        <v>0.9375</v>
      </c>
      <c r="N6" s="61" t="n">
        <f aca="false">MIN(5,N5+1)</f>
        <v>2</v>
      </c>
      <c r="O6" s="66" t="str">
        <f aca="false">IF(C6&gt;=G6,"Yes","No")</f>
        <v>No</v>
      </c>
      <c r="P6" s="57"/>
      <c r="R6" s="58" t="s">
        <v>46</v>
      </c>
      <c r="S6" s="67" t="n">
        <v>37</v>
      </c>
    </row>
    <row r="7" customFormat="false" ht="15" hidden="false" customHeight="true" outlineLevel="0" collapsed="false">
      <c r="A7" s="53" t="n">
        <f aca="false">'Raw-Data'!A37</f>
        <v>46188</v>
      </c>
      <c r="B7" s="5" t="n">
        <f aca="false">'Raw-Data'!B37</f>
        <v>101</v>
      </c>
      <c r="C7" s="7" t="n">
        <f aca="false">'Raw-Data'!C37</f>
        <v>0.908045977011494</v>
      </c>
      <c r="D7" s="7" t="n">
        <f aca="true">IF(NOT($K6),D6,AVERAGE(OFFSET($M6,-1*MAX($L6,N6),0):OFFSET($M6,0,0)))</f>
        <v>0.9</v>
      </c>
      <c r="E7" s="54" t="n">
        <f aca="true">IF(NOT($K6),E6,IFERROR(STDEV(OFFSET($M6,-1*MAX($L6,N6),0):OFFSET($M6,0,0)),E6))</f>
        <v>0.05</v>
      </c>
      <c r="F7" s="7" t="n">
        <f aca="false">MAX(0,D7-3*SQRT(D7*(1-D7)/B7))</f>
        <v>0.810446652881101</v>
      </c>
      <c r="G7" s="6" t="n">
        <v>0.95</v>
      </c>
      <c r="H7" s="55" t="n">
        <f aca="false">(C7-D7)/E7</f>
        <v>0.16091954022988</v>
      </c>
      <c r="I7" s="55" t="n">
        <f aca="false">IF(P7="y",I6,IF(K6,0,MAX(0,I6+H7-0.5)))</f>
        <v>0</v>
      </c>
      <c r="J7" s="55" t="n">
        <f aca="false">IF(P7="y",J6,IF(K6,0,MAX(0,J6-H7+0.5)))</f>
        <v>0.33908045977012</v>
      </c>
      <c r="K7" s="56" t="n">
        <f aca="false" t="array" ref="K7:K7">IFERROR(OR(ABS(I7)&gt;=4, ABS(J7)&gt;=4),FALSE())</f>
        <v>0</v>
      </c>
      <c r="L7" s="5" t="n">
        <f aca="false">IF(K6,0,L6+1)</f>
        <v>2</v>
      </c>
      <c r="M7" s="7" t="n">
        <f aca="false">IF(P7="y","",C7)</f>
        <v>0.908045977011494</v>
      </c>
      <c r="N7" s="5" t="n">
        <f aca="false">MIN(5,N6+1)</f>
        <v>3</v>
      </c>
      <c r="O7" s="5" t="str">
        <f aca="false">IF(C7&gt;=G7,"Yes","No")</f>
        <v>No</v>
      </c>
      <c r="P7" s="57"/>
      <c r="R7" s="58" t="s">
        <v>47</v>
      </c>
      <c r="S7" s="67" t="n">
        <f aca="false">COUNTIF(K5:K41,TRUE())</f>
        <v>3</v>
      </c>
    </row>
    <row r="8" customFormat="false" ht="15" hidden="false" customHeight="true" outlineLevel="0" collapsed="false">
      <c r="A8" s="60" t="n">
        <f aca="false">'Raw-Data'!A36</f>
        <v>46189</v>
      </c>
      <c r="B8" s="61" t="n">
        <f aca="false">'Raw-Data'!B36</f>
        <v>114</v>
      </c>
      <c r="C8" s="62" t="n">
        <f aca="false">'Raw-Data'!C36</f>
        <v>0.935483870967741</v>
      </c>
      <c r="D8" s="62" t="n">
        <f aca="true">IF(NOT($K7),D7,AVERAGE(OFFSET($M7,-1*MAX($L7,N7),0):OFFSET($M7,0,0)))</f>
        <v>0.9</v>
      </c>
      <c r="E8" s="63" t="n">
        <f aca="true">IF(NOT($K7),E7,IFERROR(STDEV(OFFSET($M7,-1*MAX($L7,N7),0):OFFSET($M7,0,0)),E7))</f>
        <v>0.05</v>
      </c>
      <c r="F8" s="62" t="n">
        <f aca="false">MAX(0,D8-3*SQRT(D8*(1-D8)/B8))</f>
        <v>0.815707276957648</v>
      </c>
      <c r="G8" s="64" t="n">
        <v>0.95</v>
      </c>
      <c r="H8" s="65" t="n">
        <f aca="false">(C8-D8)/E8</f>
        <v>0.709677419354819</v>
      </c>
      <c r="I8" s="65" t="n">
        <f aca="false">IF(P8="y",I7,IF(K7,0,MAX(0,I7+H8-0.5)))</f>
        <v>0.209677419354819</v>
      </c>
      <c r="J8" s="65" t="n">
        <f aca="false">IF(P8="y",J7,IF(K7,0,MAX(0,J7-H8+0.5)))</f>
        <v>0.1294030404153</v>
      </c>
      <c r="K8" s="61" t="n">
        <f aca="false" t="array" ref="K8:K8">IFERROR(OR(ABS(I8)&gt;=4, ABS(J8)&gt;=4),FALSE())</f>
        <v>0</v>
      </c>
      <c r="L8" s="61" t="n">
        <f aca="false">IF(K7,0,L7+1)</f>
        <v>3</v>
      </c>
      <c r="M8" s="62" t="n">
        <f aca="false">IF(P8="y","",C8)</f>
        <v>0.935483870967741</v>
      </c>
      <c r="N8" s="61" t="n">
        <f aca="false">MIN(5,N7+1)</f>
        <v>4</v>
      </c>
      <c r="O8" s="66" t="str">
        <f aca="false">IF(C8&gt;=G8,"Yes","No")</f>
        <v>No</v>
      </c>
      <c r="P8" s="57"/>
      <c r="R8" s="58" t="s">
        <v>48</v>
      </c>
      <c r="S8" s="68" t="str">
        <f aca="false">COUNTIF(O5:O41,"Yes")&amp;"/"&amp;37</f>
        <v>4/37</v>
      </c>
    </row>
    <row r="9" customFormat="false" ht="15" hidden="false" customHeight="true" outlineLevel="0" collapsed="false">
      <c r="A9" s="53" t="n">
        <f aca="false">'Raw-Data'!A35</f>
        <v>46190</v>
      </c>
      <c r="B9" s="5" t="n">
        <f aca="false">'Raw-Data'!B35</f>
        <v>104</v>
      </c>
      <c r="C9" s="7" t="n">
        <f aca="false">'Raw-Data'!C35</f>
        <v>0.879518072289156</v>
      </c>
      <c r="D9" s="7" t="n">
        <f aca="true">IF(NOT($K8),D8,AVERAGE(OFFSET($M8,-1*MAX($L8,N8),0):OFFSET($M8,0,0)))</f>
        <v>0.9</v>
      </c>
      <c r="E9" s="54" t="n">
        <f aca="true">IF(NOT($K8),E8,IFERROR(STDEV(OFFSET($M8,-1*MAX($L8,N8),0):OFFSET($M8,0,0)),E8))</f>
        <v>0.05</v>
      </c>
      <c r="F9" s="7" t="n">
        <f aca="false">MAX(0,D9-3*SQRT(D9*(1-D9)/B9))</f>
        <v>0.811747739187817</v>
      </c>
      <c r="G9" s="6" t="n">
        <v>0.95</v>
      </c>
      <c r="H9" s="55" t="n">
        <f aca="false">(C9-D9)/E9</f>
        <v>-0.409638554216882</v>
      </c>
      <c r="I9" s="55" t="n">
        <f aca="false">IF(P9="y",I8,IF(K8,0,MAX(0,I8+H9-0.5)))</f>
        <v>0</v>
      </c>
      <c r="J9" s="55" t="n">
        <f aca="false">IF(P9="y",J8,IF(K8,0,MAX(0,J8-H9+0.5)))</f>
        <v>1.03904159463218</v>
      </c>
      <c r="K9" s="56" t="n">
        <f aca="false" t="array" ref="K9:K9">IFERROR(OR(ABS(I9)&gt;=4, ABS(J9)&gt;=4),FALSE())</f>
        <v>0</v>
      </c>
      <c r="L9" s="5" t="n">
        <f aca="false">IF(K8,0,L8+1)</f>
        <v>4</v>
      </c>
      <c r="M9" s="7" t="n">
        <f aca="false">IF(P9="y","",C9)</f>
        <v>0.879518072289156</v>
      </c>
      <c r="N9" s="5" t="n">
        <f aca="false">MIN(5,N8+1)</f>
        <v>5</v>
      </c>
      <c r="O9" s="5" t="str">
        <f aca="false">IF(C9&gt;=G9,"Yes","No")</f>
        <v>No</v>
      </c>
      <c r="P9" s="57"/>
      <c r="R9" s="58" t="s">
        <v>49</v>
      </c>
      <c r="S9" s="69" t="n">
        <f aca="false">AVERAGE(C5:C41)</f>
        <v>0.889857327611919</v>
      </c>
    </row>
    <row r="10" customFormat="false" ht="15" hidden="false" customHeight="true" outlineLevel="0" collapsed="false">
      <c r="A10" s="60" t="n">
        <f aca="false">'Raw-Data'!A34</f>
        <v>46191</v>
      </c>
      <c r="B10" s="61" t="n">
        <f aca="false">'Raw-Data'!B34</f>
        <v>139</v>
      </c>
      <c r="C10" s="62" t="n">
        <f aca="false">'Raw-Data'!C34</f>
        <v>0.928269149386373</v>
      </c>
      <c r="D10" s="62" t="n">
        <f aca="true">IF(NOT($K9),D9,AVERAGE(OFFSET($M9,-1*MAX($L9,N9),0):OFFSET($M9,0,0)))</f>
        <v>0.9</v>
      </c>
      <c r="E10" s="63" t="n">
        <f aca="true">IF(NOT($K9),E9,IFERROR(STDEV(OFFSET($M9,-1*MAX($L9,N9),0):OFFSET($M9,0,0)),E9))</f>
        <v>0.05</v>
      </c>
      <c r="F10" s="62" t="n">
        <f aca="false">MAX(0,D10-3*SQRT(D10*(1-D10)/B10))</f>
        <v>0.823662996328803</v>
      </c>
      <c r="G10" s="64" t="n">
        <v>0.95</v>
      </c>
      <c r="H10" s="65" t="n">
        <f aca="false">(C10-D10)/E10</f>
        <v>0.565382987727461</v>
      </c>
      <c r="I10" s="65" t="n">
        <f aca="false">IF(P10="y",I9,IF(K9,0,MAX(0,I9+H10-0.5)))</f>
        <v>0.0653829877274608</v>
      </c>
      <c r="J10" s="65" t="n">
        <f aca="false">IF(P10="y",J9,IF(K9,0,MAX(0,J9-H10+0.5)))</f>
        <v>0.973658606904722</v>
      </c>
      <c r="K10" s="61" t="n">
        <f aca="false" t="array" ref="K10:K10">IFERROR(OR(ABS(I10)&gt;=4, ABS(J10)&gt;=4),FALSE())</f>
        <v>0</v>
      </c>
      <c r="L10" s="61" t="n">
        <f aca="false">IF(K9,0,L9+1)</f>
        <v>5</v>
      </c>
      <c r="M10" s="62" t="n">
        <f aca="false">IF(P10="y","",C10)</f>
        <v>0.928269149386373</v>
      </c>
      <c r="N10" s="61" t="n">
        <f aca="false">MIN(5,N9+1)</f>
        <v>5</v>
      </c>
      <c r="O10" s="66" t="str">
        <f aca="false">IF(C10&gt;=G10,"Yes","No")</f>
        <v>No</v>
      </c>
      <c r="P10" s="57"/>
      <c r="R10" s="58" t="s">
        <v>50</v>
      </c>
      <c r="S10" s="69" t="n">
        <f aca="false">AVERAGE(C5:C41)-G5</f>
        <v>-0.0601426723880815</v>
      </c>
    </row>
    <row r="11" customFormat="false" ht="15" hidden="false" customHeight="true" outlineLevel="0" collapsed="false">
      <c r="A11" s="53" t="n">
        <f aca="false">'Raw-Data'!A33</f>
        <v>46192</v>
      </c>
      <c r="B11" s="5" t="n">
        <f aca="false">'Raw-Data'!B33</f>
        <v>144</v>
      </c>
      <c r="C11" s="7" t="n">
        <f aca="false">'Raw-Data'!C33</f>
        <v>0.896853313505681</v>
      </c>
      <c r="D11" s="7" t="n">
        <f aca="true">IF(NOT($K10),D10,AVERAGE(OFFSET($M10,-1*MAX($L10,N10),0):OFFSET($M10,0,0)))</f>
        <v>0.9</v>
      </c>
      <c r="E11" s="54" t="n">
        <f aca="true">IF(NOT($K10),E10,IFERROR(STDEV(OFFSET($M10,-1*MAX($L10,N10),0):OFFSET($M10,0,0)),E10))</f>
        <v>0.05</v>
      </c>
      <c r="F11" s="7" t="n">
        <f aca="false">MAX(0,D11-3*SQRT(D11*(1-D11)/B11))</f>
        <v>0.825</v>
      </c>
      <c r="G11" s="6" t="n">
        <v>0.95</v>
      </c>
      <c r="H11" s="55" t="n">
        <f aca="false">(C11-D11)/E11</f>
        <v>-0.0629337298863852</v>
      </c>
      <c r="I11" s="55" t="n">
        <f aca="false">IF(P11="y",I10,IF(K10,0,MAX(0,I10+H11-0.5)))</f>
        <v>0</v>
      </c>
      <c r="J11" s="55" t="n">
        <f aca="false">IF(P11="y",J10,IF(K10,0,MAX(0,J10-H11+0.5)))</f>
        <v>1.53659233679111</v>
      </c>
      <c r="K11" s="56" t="n">
        <f aca="false" t="array" ref="K11:K11">IFERROR(OR(ABS(I11)&gt;=4, ABS(J11)&gt;=4),FALSE())</f>
        <v>0</v>
      </c>
      <c r="L11" s="5" t="n">
        <f aca="false">IF(K10,0,L10+1)</f>
        <v>6</v>
      </c>
      <c r="M11" s="7" t="n">
        <f aca="false">IF(P11="y","",C11)</f>
        <v>0.896853313505681</v>
      </c>
      <c r="N11" s="5" t="n">
        <f aca="false">MIN(5,N10+1)</f>
        <v>5</v>
      </c>
      <c r="O11" s="5" t="str">
        <f aca="false">IF(C11&gt;=G11,"Yes","No")</f>
        <v>No</v>
      </c>
      <c r="P11" s="57"/>
      <c r="R11" s="58" t="s">
        <v>51</v>
      </c>
      <c r="S11" s="69" t="n">
        <f aca="false">D41</f>
        <v>0.898101532915124</v>
      </c>
    </row>
    <row r="12" customFormat="false" ht="15" hidden="false" customHeight="true" outlineLevel="0" collapsed="false">
      <c r="A12" s="60" t="n">
        <f aca="false">'Raw-Data'!A32</f>
        <v>46193</v>
      </c>
      <c r="B12" s="61" t="n">
        <f aca="false">'Raw-Data'!B32</f>
        <v>184</v>
      </c>
      <c r="C12" s="62" t="n">
        <f aca="false">'Raw-Data'!C32</f>
        <v>0.640125511406975</v>
      </c>
      <c r="D12" s="62" t="n">
        <f aca="true">IF(NOT($K11),D11,AVERAGE(OFFSET($M11,-1*MAX($L11,N11),0):OFFSET($M11,0,0)))</f>
        <v>0.9</v>
      </c>
      <c r="E12" s="63" t="n">
        <f aca="true">IF(NOT($K11),E11,IFERROR(STDEV(OFFSET($M11,-1*MAX($L11,N11),0):OFFSET($M11,0,0)),E11))</f>
        <v>0.05</v>
      </c>
      <c r="F12" s="62" t="n">
        <f aca="false">MAX(0,D12-3*SQRT(D12*(1-D12)/B12))</f>
        <v>0.833651119730296</v>
      </c>
      <c r="G12" s="64" t="n">
        <v>0.95</v>
      </c>
      <c r="H12" s="65" t="n">
        <f aca="false">(C12-D12)/E12</f>
        <v>-5.1974897718605</v>
      </c>
      <c r="I12" s="65" t="n">
        <f aca="false">IF(P12="y",I11,IF(K11,0,MAX(0,I11+H12-0.5)))</f>
        <v>0</v>
      </c>
      <c r="J12" s="65" t="n">
        <f aca="false">IF(P12="y",J11,IF(K11,0,MAX(0,J11-H12+0.5)))</f>
        <v>7.2340821086516</v>
      </c>
      <c r="K12" s="61" t="n">
        <f aca="false" t="array" ref="K12:K12">IFERROR(OR(ABS(I12)&gt;=4, ABS(J12)&gt;=4),FALSE())</f>
        <v>1</v>
      </c>
      <c r="L12" s="61" t="n">
        <f aca="false">IF(K11,0,L11+1)</f>
        <v>7</v>
      </c>
      <c r="M12" s="62" t="n">
        <f aca="false">IF(P12="y","",C12)</f>
        <v>0.640125511406975</v>
      </c>
      <c r="N12" s="61" t="n">
        <f aca="false">MIN(5,N11+1)</f>
        <v>5</v>
      </c>
      <c r="O12" s="66" t="str">
        <f aca="false">IF(C12&gt;=G12,"Yes","No")</f>
        <v>No</v>
      </c>
      <c r="P12" s="57"/>
      <c r="R12" s="58" t="s">
        <v>52</v>
      </c>
      <c r="S12" s="69" t="n">
        <f aca="false">F41</f>
        <v>0.833767428334901</v>
      </c>
    </row>
    <row r="13" customFormat="false" ht="15" hidden="false" customHeight="true" outlineLevel="0" collapsed="false">
      <c r="A13" s="53" t="n">
        <f aca="false">'Raw-Data'!A31</f>
        <v>46194</v>
      </c>
      <c r="B13" s="5" t="n">
        <f aca="false">'Raw-Data'!B31</f>
        <v>168</v>
      </c>
      <c r="C13" s="7" t="n">
        <f aca="false">'Raw-Data'!C31</f>
        <v>0.871796811945117</v>
      </c>
      <c r="D13" s="7" t="n">
        <f aca="true">IF(NOT($K12),D12,AVERAGE(OFFSET($M12,-1*MAX($L12,N12),0):OFFSET($M12,0,0)))</f>
        <v>0.88314872924517</v>
      </c>
      <c r="E13" s="54" t="n">
        <f aca="true">IF(NOT($K12),E12,IFERROR(STDEV(OFFSET($M12,-1*MAX($L12,N12),0):OFFSET($M12,0,0)),E12))</f>
        <v>0.100551023525826</v>
      </c>
      <c r="F13" s="7" t="n">
        <f aca="false">MAX(0,D13-3*SQRT(D13*(1-D13)/B13))</f>
        <v>0.80879542762842</v>
      </c>
      <c r="G13" s="6" t="n">
        <v>0.95</v>
      </c>
      <c r="H13" s="55" t="n">
        <f aca="false">(C13-D13)/E13</f>
        <v>-0.112897083510417</v>
      </c>
      <c r="I13" s="55" t="n">
        <f aca="false">IF(P13="y",I12,IF(K12,0,MAX(0,I12+H13-0.5)))</f>
        <v>0</v>
      </c>
      <c r="J13" s="55" t="n">
        <f aca="false">IF(P13="y",J12,IF(K12,0,MAX(0,J12-H13+0.5)))</f>
        <v>0</v>
      </c>
      <c r="K13" s="56" t="n">
        <f aca="false" t="array" ref="K13:K13">IFERROR(OR(ABS(I13)&gt;=4, ABS(J13)&gt;=4),FALSE())</f>
        <v>0</v>
      </c>
      <c r="L13" s="5" t="n">
        <f aca="false">IF(K12,0,L12+1)</f>
        <v>0</v>
      </c>
      <c r="M13" s="7" t="n">
        <f aca="false">IF(P13="y","",C13)</f>
        <v>0.871796811945117</v>
      </c>
      <c r="N13" s="5" t="n">
        <f aca="false">MIN(5,N12+1)</f>
        <v>5</v>
      </c>
      <c r="O13" s="5" t="str">
        <f aca="false">IF(C13&gt;=G13,"Yes","No")</f>
        <v>No</v>
      </c>
      <c r="P13" s="57"/>
    </row>
    <row r="14" customFormat="false" ht="15" hidden="false" customHeight="true" outlineLevel="0" collapsed="false">
      <c r="A14" s="60" t="n">
        <f aca="false">'Raw-Data'!A30</f>
        <v>46195</v>
      </c>
      <c r="B14" s="61" t="n">
        <f aca="false">'Raw-Data'!B30</f>
        <v>139</v>
      </c>
      <c r="C14" s="62" t="n">
        <f aca="false">'Raw-Data'!C30</f>
        <v>0.847080728747809</v>
      </c>
      <c r="D14" s="62" t="n">
        <f aca="true">IF(NOT($K13),D13,AVERAGE(OFFSET($M13,-1*MAX($L13,N13),0):OFFSET($M13,0,0)))</f>
        <v>0.88314872924517</v>
      </c>
      <c r="E14" s="63" t="n">
        <f aca="true">IF(NOT($K13),E13,IFERROR(STDEV(OFFSET($M13,-1*MAX($L13,N13),0):OFFSET($M13,0,0)),E13))</f>
        <v>0.100551023525826</v>
      </c>
      <c r="F14" s="62" t="n">
        <f aca="false">MAX(0,D14-3*SQRT(D14*(1-D14)/B14))</f>
        <v>0.801406307798096</v>
      </c>
      <c r="G14" s="64" t="n">
        <v>0.95</v>
      </c>
      <c r="H14" s="65" t="n">
        <f aca="false">(C14-D14)/E14</f>
        <v>-0.358703464496283</v>
      </c>
      <c r="I14" s="65" t="n">
        <f aca="false">IF(P14="y",I13,IF(K13,0,MAX(0,I13+H14-0.5)))</f>
        <v>0</v>
      </c>
      <c r="J14" s="65" t="n">
        <f aca="false">IF(P14="y",J13,IF(K13,0,MAX(0,J13-H14+0.5)))</f>
        <v>0.858703464496283</v>
      </c>
      <c r="K14" s="61" t="n">
        <f aca="false" t="array" ref="K14:K14">IFERROR(OR(ABS(I14)&gt;=4, ABS(J14)&gt;=4),FALSE())</f>
        <v>0</v>
      </c>
      <c r="L14" s="61" t="n">
        <f aca="false">IF(K13,0,L13+1)</f>
        <v>1</v>
      </c>
      <c r="M14" s="62" t="n">
        <f aca="false">IF(P14="y","",C14)</f>
        <v>0.847080728747809</v>
      </c>
      <c r="N14" s="61" t="n">
        <f aca="false">MIN(5,N13+1)</f>
        <v>5</v>
      </c>
      <c r="O14" s="66" t="str">
        <f aca="false">IF(C14&gt;=G14,"Yes","No")</f>
        <v>No</v>
      </c>
      <c r="P14" s="57"/>
    </row>
    <row r="15" customFormat="false" ht="15" hidden="false" customHeight="true" outlineLevel="0" collapsed="false">
      <c r="A15" s="53" t="n">
        <f aca="false">'Raw-Data'!A29</f>
        <v>46196</v>
      </c>
      <c r="B15" s="5" t="n">
        <f aca="false">'Raw-Data'!B29</f>
        <v>173</v>
      </c>
      <c r="C15" s="7" t="n">
        <f aca="false">'Raw-Data'!C29</f>
        <v>0.757003112494442</v>
      </c>
      <c r="D15" s="7" t="n">
        <f aca="true">IF(NOT($K14),D14,AVERAGE(OFFSET($M14,-1*MAX($L14,N14),0):OFFSET($M14,0,0)))</f>
        <v>0.88314872924517</v>
      </c>
      <c r="E15" s="54" t="n">
        <f aca="true">IF(NOT($K14),E14,IFERROR(STDEV(OFFSET($M14,-1*MAX($L14,N14),0):OFFSET($M14,0,0)),E14))</f>
        <v>0.100551023525826</v>
      </c>
      <c r="F15" s="7" t="n">
        <f aca="false">MAX(0,D15-3*SQRT(D15*(1-D15)/B15))</f>
        <v>0.809877775072078</v>
      </c>
      <c r="G15" s="6" t="n">
        <v>0.95</v>
      </c>
      <c r="H15" s="55" t="n">
        <f aca="false">(C15-D15)/E15</f>
        <v>-1.25454333857008</v>
      </c>
      <c r="I15" s="55" t="n">
        <f aca="false">IF(P15="y",I14,IF(K14,0,MAX(0,I14+H15-0.5)))</f>
        <v>0</v>
      </c>
      <c r="J15" s="55" t="n">
        <f aca="false">IF(P15="y",J14,IF(K14,0,MAX(0,J14-H15+0.5)))</f>
        <v>2.61324680306636</v>
      </c>
      <c r="K15" s="56" t="n">
        <f aca="false" t="array" ref="K15:K15">IFERROR(OR(ABS(I15)&gt;=4, ABS(J15)&gt;=4),FALSE())</f>
        <v>0</v>
      </c>
      <c r="L15" s="5" t="n">
        <f aca="false">IF(K14,0,L14+1)</f>
        <v>2</v>
      </c>
      <c r="M15" s="7" t="n">
        <f aca="false">IF(P15="y","",C15)</f>
        <v>0.757003112494442</v>
      </c>
      <c r="N15" s="5" t="n">
        <f aca="false">MIN(5,N14+1)</f>
        <v>5</v>
      </c>
      <c r="O15" s="5" t="str">
        <f aca="false">IF(C15&gt;=G15,"Yes","No")</f>
        <v>No</v>
      </c>
      <c r="P15" s="57"/>
    </row>
    <row r="16" customFormat="false" ht="15" hidden="false" customHeight="true" outlineLevel="0" collapsed="false">
      <c r="A16" s="60" t="n">
        <f aca="false">'Raw-Data'!A28</f>
        <v>46197</v>
      </c>
      <c r="B16" s="61" t="n">
        <f aca="false">'Raw-Data'!B28</f>
        <v>149</v>
      </c>
      <c r="C16" s="62" t="n">
        <f aca="false">'Raw-Data'!C28</f>
        <v>0.834793756126989</v>
      </c>
      <c r="D16" s="62" t="n">
        <f aca="true">IF(NOT($K15),D15,AVERAGE(OFFSET($M15,-1*MAX($L15,N15),0):OFFSET($M15,0,0)))</f>
        <v>0.88314872924517</v>
      </c>
      <c r="E16" s="63" t="n">
        <f aca="true">IF(NOT($K15),E15,IFERROR(STDEV(OFFSET($M15,-1*MAX($L15,N15),0):OFFSET($M15,0,0)),E15))</f>
        <v>0.100551023525826</v>
      </c>
      <c r="F16" s="62" t="n">
        <f aca="false">MAX(0,D16-3*SQRT(D16*(1-D16)/B16))</f>
        <v>0.804196978560061</v>
      </c>
      <c r="G16" s="64" t="n">
        <v>0.95</v>
      </c>
      <c r="H16" s="65" t="n">
        <f aca="false">(C16-D16)/E16</f>
        <v>-0.480899859818547</v>
      </c>
      <c r="I16" s="65" t="n">
        <f aca="false">IF(P16="y",I15,IF(K15,0,MAX(0,I15+H16-0.5)))</f>
        <v>0</v>
      </c>
      <c r="J16" s="65" t="n">
        <f aca="false">IF(P16="y",J15,IF(K15,0,MAX(0,J15-H16+0.5)))</f>
        <v>3.59414666288491</v>
      </c>
      <c r="K16" s="61" t="n">
        <f aca="false" t="array" ref="K16:K16">IFERROR(OR(ABS(I16)&gt;=4, ABS(J16)&gt;=4),FALSE())</f>
        <v>0</v>
      </c>
      <c r="L16" s="61" t="n">
        <f aca="false">IF(K15,0,L15+1)</f>
        <v>3</v>
      </c>
      <c r="M16" s="62" t="n">
        <f aca="false">IF(P16="y","",C16)</f>
        <v>0.834793756126989</v>
      </c>
      <c r="N16" s="61" t="n">
        <f aca="false">MIN(5,N15+1)</f>
        <v>5</v>
      </c>
      <c r="O16" s="66" t="str">
        <f aca="false">IF(C16&gt;=G16,"Yes","No")</f>
        <v>No</v>
      </c>
      <c r="P16" s="57"/>
    </row>
    <row r="17" customFormat="false" ht="15" hidden="false" customHeight="true" outlineLevel="0" collapsed="false">
      <c r="A17" s="53" t="n">
        <f aca="false">'Raw-Data'!A27</f>
        <v>46198</v>
      </c>
      <c r="B17" s="5" t="n">
        <f aca="false">'Raw-Data'!B27</f>
        <v>152</v>
      </c>
      <c r="C17" s="7" t="n">
        <f aca="false">'Raw-Data'!C27</f>
        <v>0.912361549033875</v>
      </c>
      <c r="D17" s="7" t="n">
        <f aca="true">IF(NOT($K16),D16,AVERAGE(OFFSET($M16,-1*MAX($L16,N16),0):OFFSET($M16,0,0)))</f>
        <v>0.88314872924517</v>
      </c>
      <c r="E17" s="54" t="n">
        <f aca="true">IF(NOT($K16),E16,IFERROR(STDEV(OFFSET($M16,-1*MAX($L16,N16),0):OFFSET($M16,0,0)),E16))</f>
        <v>0.100551023525826</v>
      </c>
      <c r="F17" s="7" t="n">
        <f aca="false">MAX(0,D17-3*SQRT(D17*(1-D17)/B17))</f>
        <v>0.804979990478341</v>
      </c>
      <c r="G17" s="6" t="n">
        <v>0.95</v>
      </c>
      <c r="H17" s="55" t="n">
        <f aca="false">(C17-D17)/E17</f>
        <v>0.290527323982951</v>
      </c>
      <c r="I17" s="55" t="n">
        <f aca="false">IF(P17="y",I16,IF(K16,0,MAX(0,I16+H17-0.5)))</f>
        <v>0</v>
      </c>
      <c r="J17" s="55" t="n">
        <f aca="false">IF(P17="y",J16,IF(K16,0,MAX(0,J16-H17+0.5)))</f>
        <v>3.80361933890196</v>
      </c>
      <c r="K17" s="56" t="n">
        <f aca="false" t="array" ref="K17:K17">IFERROR(OR(ABS(I17)&gt;=4, ABS(J17)&gt;=4),FALSE())</f>
        <v>0</v>
      </c>
      <c r="L17" s="5" t="n">
        <f aca="false">IF(K16,0,L16+1)</f>
        <v>4</v>
      </c>
      <c r="M17" s="7" t="n">
        <f aca="false">IF(P17="y","",C17)</f>
        <v>0.912361549033875</v>
      </c>
      <c r="N17" s="5" t="n">
        <f aca="false">MIN(5,N16+1)</f>
        <v>5</v>
      </c>
      <c r="O17" s="5" t="str">
        <f aca="false">IF(C17&gt;=G17,"Yes","No")</f>
        <v>No</v>
      </c>
      <c r="P17" s="57"/>
    </row>
    <row r="18" customFormat="false" ht="15" hidden="false" customHeight="true" outlineLevel="0" collapsed="false">
      <c r="A18" s="60" t="n">
        <f aca="false">'Raw-Data'!A26</f>
        <v>46199</v>
      </c>
      <c r="B18" s="61" t="n">
        <f aca="false">'Raw-Data'!B26</f>
        <v>176</v>
      </c>
      <c r="C18" s="62" t="n">
        <f aca="false">'Raw-Data'!C26</f>
        <v>0.910795956029848</v>
      </c>
      <c r="D18" s="62" t="n">
        <f aca="true">IF(NOT($K17),D17,AVERAGE(OFFSET($M17,-1*MAX($L17,N17),0):OFFSET($M17,0,0)))</f>
        <v>0.88314872924517</v>
      </c>
      <c r="E18" s="63" t="n">
        <f aca="true">IF(NOT($K17),E17,IFERROR(STDEV(OFFSET($M17,-1*MAX($L17,N17),0):OFFSET($M17,0,0)),E17))</f>
        <v>0.100551023525826</v>
      </c>
      <c r="F18" s="62" t="n">
        <f aca="false">MAX(0,D18-3*SQRT(D18*(1-D18)/B18))</f>
        <v>0.81050492744252</v>
      </c>
      <c r="G18" s="64" t="n">
        <v>0.95</v>
      </c>
      <c r="H18" s="65" t="n">
        <f aca="false">(C18-D18)/E18</f>
        <v>0.27495718904917</v>
      </c>
      <c r="I18" s="65" t="n">
        <f aca="false">IF(P18="y",I17,IF(K17,0,MAX(0,I17+H18-0.5)))</f>
        <v>0</v>
      </c>
      <c r="J18" s="65" t="n">
        <f aca="false">IF(P18="y",J17,IF(K17,0,MAX(0,J17-H18+0.5)))</f>
        <v>4.02866214985279</v>
      </c>
      <c r="K18" s="61" t="n">
        <f aca="false" t="array" ref="K18:K18">IFERROR(OR(ABS(I18)&gt;=4, ABS(J18)&gt;=4),FALSE())</f>
        <v>1</v>
      </c>
      <c r="L18" s="61" t="n">
        <f aca="false">IF(K17,0,L17+1)</f>
        <v>5</v>
      </c>
      <c r="M18" s="62" t="n">
        <f aca="false">IF(P18="y","",C18)</f>
        <v>0.910795956029848</v>
      </c>
      <c r="N18" s="61" t="n">
        <f aca="false">MIN(5,N17+1)</f>
        <v>5</v>
      </c>
      <c r="O18" s="66" t="str">
        <f aca="false">IF(C18&gt;=G18,"Yes","No")</f>
        <v>No</v>
      </c>
      <c r="P18" s="57"/>
    </row>
    <row r="19" customFormat="false" ht="15" hidden="false" customHeight="true" outlineLevel="0" collapsed="false">
      <c r="A19" s="53" t="n">
        <f aca="false">'Raw-Data'!A25</f>
        <v>46200</v>
      </c>
      <c r="B19" s="5" t="n">
        <f aca="false">'Raw-Data'!B25</f>
        <v>169</v>
      </c>
      <c r="C19" s="7" t="n">
        <f aca="false">'Raw-Data'!C25</f>
        <v>0.857844872637771</v>
      </c>
      <c r="D19" s="7" t="n">
        <f aca="true">IF(NOT($K18),D18,AVERAGE(OFFSET($M18,-1*MAX($L18,N18),0):OFFSET($M18,0,0)))</f>
        <v>0.855638652396347</v>
      </c>
      <c r="E19" s="54" t="n">
        <f aca="true">IF(NOT($K18),E18,IFERROR(STDEV(OFFSET($M18,-1*MAX($L18,N18),0):OFFSET($M18,0,0)),E18))</f>
        <v>0.0578923462237769</v>
      </c>
      <c r="F19" s="7" t="n">
        <f aca="false">MAX(0,D19-3*SQRT(D19*(1-D19)/B19))</f>
        <v>0.77453347777191</v>
      </c>
      <c r="G19" s="6" t="n">
        <v>0.95</v>
      </c>
      <c r="H19" s="55" t="n">
        <f aca="false">(C19-D19)/E19</f>
        <v>0.0381090141501089</v>
      </c>
      <c r="I19" s="55" t="n">
        <f aca="false">IF(P19="y",I18,IF(K18,0,MAX(0,I18+H19-0.5)))</f>
        <v>0</v>
      </c>
      <c r="J19" s="55" t="n">
        <f aca="false">IF(P19="y",J18,IF(K18,0,MAX(0,J18-H19+0.5)))</f>
        <v>0</v>
      </c>
      <c r="K19" s="56" t="n">
        <f aca="false" t="array" ref="K19:K19">IFERROR(OR(ABS(I19)&gt;=4, ABS(J19)&gt;=4),FALSE())</f>
        <v>0</v>
      </c>
      <c r="L19" s="5" t="n">
        <f aca="false">IF(K18,0,L18+1)</f>
        <v>0</v>
      </c>
      <c r="M19" s="7" t="n">
        <f aca="false">IF(P19="y","",C19)</f>
        <v>0.857844872637771</v>
      </c>
      <c r="N19" s="5" t="n">
        <f aca="false">MIN(5,N18+1)</f>
        <v>5</v>
      </c>
      <c r="O19" s="5" t="str">
        <f aca="false">IF(C19&gt;=G19,"Yes","No")</f>
        <v>No</v>
      </c>
      <c r="P19" s="57"/>
    </row>
    <row r="20" customFormat="false" ht="15" hidden="false" customHeight="true" outlineLevel="0" collapsed="false">
      <c r="A20" s="60" t="n">
        <f aca="false">'Raw-Data'!A24</f>
        <v>46201</v>
      </c>
      <c r="B20" s="61" t="n">
        <f aca="false">'Raw-Data'!B24</f>
        <v>145</v>
      </c>
      <c r="C20" s="62" t="n">
        <f aca="false">'Raw-Data'!C24</f>
        <v>0.953908045977011</v>
      </c>
      <c r="D20" s="62" t="n">
        <f aca="true">IF(NOT($K19),D19,AVERAGE(OFFSET($M19,-1*MAX($L19,N19),0):OFFSET($M19,0,0)))</f>
        <v>0.855638652396347</v>
      </c>
      <c r="E20" s="63" t="n">
        <f aca="true">IF(NOT($K19),E19,IFERROR(STDEV(OFFSET($M19,-1*MAX($L19,N19),0):OFFSET($M19,0,0)),E19))</f>
        <v>0.0578923462237769</v>
      </c>
      <c r="F20" s="62" t="n">
        <f aca="false">MAX(0,D20-3*SQRT(D20*(1-D20)/B20))</f>
        <v>0.768078216507346</v>
      </c>
      <c r="G20" s="64" t="n">
        <v>0.95</v>
      </c>
      <c r="H20" s="65" t="n">
        <f aca="false">(C20-D20)/E20</f>
        <v>1.69745052654827</v>
      </c>
      <c r="I20" s="65" t="n">
        <f aca="false">IF(P20="y",I19,IF(K19,0,MAX(0,I19+H20-0.5)))</f>
        <v>1.19745052654827</v>
      </c>
      <c r="J20" s="65" t="n">
        <f aca="false">IF(P20="y",J19,IF(K19,0,MAX(0,J19-H20+0.5)))</f>
        <v>0</v>
      </c>
      <c r="K20" s="61" t="n">
        <f aca="false" t="array" ref="K20:K20">IFERROR(OR(ABS(I20)&gt;=4, ABS(J20)&gt;=4),FALSE())</f>
        <v>0</v>
      </c>
      <c r="L20" s="61" t="n">
        <f aca="false">IF(K19,0,L19+1)</f>
        <v>1</v>
      </c>
      <c r="M20" s="62" t="n">
        <f aca="false">IF(P20="y","",C20)</f>
        <v>0.953908045977011</v>
      </c>
      <c r="N20" s="61" t="n">
        <f aca="false">MIN(5,N19+1)</f>
        <v>5</v>
      </c>
      <c r="O20" s="66" t="str">
        <f aca="false">IF(C20&gt;=G20,"Yes","No")</f>
        <v>Yes</v>
      </c>
      <c r="P20" s="57"/>
    </row>
    <row r="21" customFormat="false" ht="15" hidden="false" customHeight="true" outlineLevel="0" collapsed="false">
      <c r="A21" s="53" t="n">
        <f aca="false">'Raw-Data'!A23</f>
        <v>46202</v>
      </c>
      <c r="B21" s="5" t="n">
        <f aca="false">'Raw-Data'!B23</f>
        <v>143</v>
      </c>
      <c r="C21" s="7" t="n">
        <f aca="false">'Raw-Data'!C23</f>
        <v>0.908138787847974</v>
      </c>
      <c r="D21" s="7" t="n">
        <f aca="true">IF(NOT($K20),D20,AVERAGE(OFFSET($M20,-1*MAX($L20,N20),0):OFFSET($M20,0,0)))</f>
        <v>0.855638652396347</v>
      </c>
      <c r="E21" s="54" t="n">
        <f aca="true">IF(NOT($K20),E20,IFERROR(STDEV(OFFSET($M20,-1*MAX($L20,N20),0):OFFSET($M20,0,0)),E20))</f>
        <v>0.0578923462237769</v>
      </c>
      <c r="F21" s="7" t="n">
        <f aca="false">MAX(0,D21-3*SQRT(D21*(1-D21)/B21))</f>
        <v>0.767468031871457</v>
      </c>
      <c r="G21" s="6" t="n">
        <v>0.95</v>
      </c>
      <c r="H21" s="55" t="n">
        <f aca="false">(C21-D21)/E21</f>
        <v>0.906857967868391</v>
      </c>
      <c r="I21" s="55" t="n">
        <f aca="false">IF(P21="y",I20,IF(K20,0,MAX(0,I20+H21-0.5)))</f>
        <v>1.60430849441666</v>
      </c>
      <c r="J21" s="55" t="n">
        <f aca="false">IF(P21="y",J20,IF(K20,0,MAX(0,J20-H21+0.5)))</f>
        <v>0</v>
      </c>
      <c r="K21" s="56" t="n">
        <f aca="false" t="array" ref="K21:K21">IFERROR(OR(ABS(I21)&gt;=4, ABS(J21)&gt;=4),FALSE())</f>
        <v>0</v>
      </c>
      <c r="L21" s="5" t="n">
        <f aca="false">IF(K20,0,L20+1)</f>
        <v>2</v>
      </c>
      <c r="M21" s="7" t="n">
        <f aca="false">IF(P21="y","",C21)</f>
        <v>0.908138787847974</v>
      </c>
      <c r="N21" s="5" t="n">
        <f aca="false">MIN(5,N20+1)</f>
        <v>5</v>
      </c>
      <c r="O21" s="5" t="str">
        <f aca="false">IF(C21&gt;=G21,"Yes","No")</f>
        <v>No</v>
      </c>
      <c r="P21" s="57"/>
    </row>
    <row r="22" customFormat="false" ht="15" hidden="false" customHeight="true" outlineLevel="0" collapsed="false">
      <c r="A22" s="60" t="n">
        <f aca="false">'Raw-Data'!A22</f>
        <v>46203</v>
      </c>
      <c r="B22" s="61" t="n">
        <f aca="false">'Raw-Data'!B22</f>
        <v>156</v>
      </c>
      <c r="C22" s="62" t="n">
        <f aca="false">'Raw-Data'!C22</f>
        <v>0.893491124260354</v>
      </c>
      <c r="D22" s="62" t="n">
        <f aca="true">IF(NOT($K21),D21,AVERAGE(OFFSET($M21,-1*MAX($L21,N21),0):OFFSET($M21,0,0)))</f>
        <v>0.855638652396347</v>
      </c>
      <c r="E22" s="63" t="n">
        <f aca="true">IF(NOT($K21),E21,IFERROR(STDEV(OFFSET($M21,-1*MAX($L21,N21),0):OFFSET($M21,0,0)),E21))</f>
        <v>0.0578923462237769</v>
      </c>
      <c r="F22" s="62" t="n">
        <f aca="false">MAX(0,D22-3*SQRT(D22*(1-D22)/B22))</f>
        <v>0.77122171019812</v>
      </c>
      <c r="G22" s="64" t="n">
        <v>0.95</v>
      </c>
      <c r="H22" s="65" t="n">
        <f aca="false">(C22-D22)/E22</f>
        <v>0.653842421892748</v>
      </c>
      <c r="I22" s="65" t="n">
        <f aca="false">IF(P22="y",I21,IF(K21,0,MAX(0,I21+H22-0.5)))</f>
        <v>1.75815091630941</v>
      </c>
      <c r="J22" s="65" t="n">
        <f aca="false">IF(P22="y",J21,IF(K21,0,MAX(0,J21-H22+0.5)))</f>
        <v>0</v>
      </c>
      <c r="K22" s="61" t="n">
        <f aca="false" t="array" ref="K22:K22">IFERROR(OR(ABS(I22)&gt;=4, ABS(J22)&gt;=4),FALSE())</f>
        <v>0</v>
      </c>
      <c r="L22" s="61" t="n">
        <f aca="false">IF(K21,0,L21+1)</f>
        <v>3</v>
      </c>
      <c r="M22" s="62" t="n">
        <f aca="false">IF(P22="y","",C22)</f>
        <v>0.893491124260354</v>
      </c>
      <c r="N22" s="61" t="n">
        <f aca="false">MIN(5,N21+1)</f>
        <v>5</v>
      </c>
      <c r="O22" s="66" t="str">
        <f aca="false">IF(C22&gt;=G22,"Yes","No")</f>
        <v>No</v>
      </c>
      <c r="P22" s="57"/>
    </row>
    <row r="23" customFormat="false" ht="15" hidden="false" customHeight="true" outlineLevel="0" collapsed="false">
      <c r="A23" s="53" t="n">
        <f aca="false">'Raw-Data'!A21</f>
        <v>46204</v>
      </c>
      <c r="B23" s="5" t="n">
        <f aca="false">'Raw-Data'!B21</f>
        <v>158</v>
      </c>
      <c r="C23" s="7" t="n">
        <f aca="false">'Raw-Data'!C21</f>
        <v>0.882622061482821</v>
      </c>
      <c r="D23" s="7" t="n">
        <f aca="true">IF(NOT($K22),D22,AVERAGE(OFFSET($M22,-1*MAX($L22,N22),0):OFFSET($M22,0,0)))</f>
        <v>0.855638652396347</v>
      </c>
      <c r="E23" s="54" t="n">
        <f aca="true">IF(NOT($K22),E22,IFERROR(STDEV(OFFSET($M22,-1*MAX($L22,N22),0):OFFSET($M22,0,0)),E22))</f>
        <v>0.0578923462237769</v>
      </c>
      <c r="F23" s="7" t="n">
        <f aca="false">MAX(0,D23-3*SQRT(D23*(1-D23)/B23))</f>
        <v>0.771757696202487</v>
      </c>
      <c r="G23" s="6" t="n">
        <v>0.95</v>
      </c>
      <c r="H23" s="55" t="n">
        <f aca="false">(C23-D23)/E23</f>
        <v>0.466096312320331</v>
      </c>
      <c r="I23" s="55" t="n">
        <f aca="false">IF(P23="y",I22,IF(K22,0,MAX(0,I22+H23-0.5)))</f>
        <v>1.72424722862974</v>
      </c>
      <c r="J23" s="55" t="n">
        <f aca="false">IF(P23="y",J22,IF(K22,0,MAX(0,J22-H23+0.5)))</f>
        <v>0.0339036876796691</v>
      </c>
      <c r="K23" s="56" t="n">
        <f aca="false" t="array" ref="K23:K23">IFERROR(OR(ABS(I23)&gt;=4, ABS(J23)&gt;=4),FALSE())</f>
        <v>0</v>
      </c>
      <c r="L23" s="5" t="n">
        <f aca="false">IF(K22,0,L22+1)</f>
        <v>4</v>
      </c>
      <c r="M23" s="7" t="n">
        <f aca="false">IF(P23="y","",C23)</f>
        <v>0.882622061482821</v>
      </c>
      <c r="N23" s="5" t="n">
        <f aca="false">MIN(5,N22+1)</f>
        <v>5</v>
      </c>
      <c r="O23" s="5" t="str">
        <f aca="false">IF(C23&gt;=G23,"Yes","No")</f>
        <v>No</v>
      </c>
      <c r="P23" s="57"/>
    </row>
    <row r="24" customFormat="false" ht="15" hidden="false" customHeight="true" outlineLevel="0" collapsed="false">
      <c r="A24" s="60" t="n">
        <f aca="false">'Raw-Data'!A20</f>
        <v>46205</v>
      </c>
      <c r="B24" s="61" t="n">
        <f aca="false">'Raw-Data'!B20</f>
        <v>124</v>
      </c>
      <c r="C24" s="62" t="n">
        <f aca="false">'Raw-Data'!C20</f>
        <v>0.874672449625011</v>
      </c>
      <c r="D24" s="62" t="n">
        <f aca="true">IF(NOT($K23),D23,AVERAGE(OFFSET($M23,-1*MAX($L23,N23),0):OFFSET($M23,0,0)))</f>
        <v>0.855638652396347</v>
      </c>
      <c r="E24" s="63" t="n">
        <f aca="true">IF(NOT($K23),E23,IFERROR(STDEV(OFFSET($M23,-1*MAX($L23,N23),0):OFFSET($M23,0,0)),E23))</f>
        <v>0.0578923462237769</v>
      </c>
      <c r="F24" s="62" t="n">
        <f aca="false">MAX(0,D24-3*SQRT(D24*(1-D24)/B24))</f>
        <v>0.760953676398031</v>
      </c>
      <c r="G24" s="64" t="n">
        <v>0.95</v>
      </c>
      <c r="H24" s="65" t="n">
        <f aca="false">(C24-D24)/E24</f>
        <v>0.328779164608237</v>
      </c>
      <c r="I24" s="65" t="n">
        <f aca="false">IF(P24="y",I23,IF(K23,0,MAX(0,I23+H24-0.5)))</f>
        <v>1.55302639323797</v>
      </c>
      <c r="J24" s="65" t="n">
        <f aca="false">IF(P24="y",J23,IF(K23,0,MAX(0,J23-H24+0.5)))</f>
        <v>0.205124523071432</v>
      </c>
      <c r="K24" s="61" t="n">
        <f aca="false" t="array" ref="K24:K24">IFERROR(OR(ABS(I24)&gt;=4, ABS(J24)&gt;=4),FALSE())</f>
        <v>0</v>
      </c>
      <c r="L24" s="61" t="n">
        <f aca="false">IF(K23,0,L23+1)</f>
        <v>5</v>
      </c>
      <c r="M24" s="62" t="n">
        <f aca="false">IF(P24="y","",C24)</f>
        <v>0.874672449625011</v>
      </c>
      <c r="N24" s="61" t="n">
        <f aca="false">MIN(5,N23+1)</f>
        <v>5</v>
      </c>
      <c r="O24" s="66" t="str">
        <f aca="false">IF(C24&gt;=G24,"Yes","No")</f>
        <v>No</v>
      </c>
      <c r="P24" s="57"/>
    </row>
    <row r="25" customFormat="false" ht="15" hidden="false" customHeight="true" outlineLevel="0" collapsed="false">
      <c r="A25" s="53" t="n">
        <f aca="false">'Raw-Data'!A19</f>
        <v>46206</v>
      </c>
      <c r="B25" s="5" t="n">
        <f aca="false">'Raw-Data'!B19</f>
        <v>172</v>
      </c>
      <c r="C25" s="7" t="n">
        <f aca="false">'Raw-Data'!C19</f>
        <v>0.846244605210047</v>
      </c>
      <c r="D25" s="7" t="n">
        <f aca="true">IF(NOT($K24),D24,AVERAGE(OFFSET($M24,-1*MAX($L24,N24),0):OFFSET($M24,0,0)))</f>
        <v>0.855638652396347</v>
      </c>
      <c r="E25" s="54" t="n">
        <f aca="true">IF(NOT($K24),E24,IFERROR(STDEV(OFFSET($M24,-1*MAX($L24,N24),0):OFFSET($M24,0,0)),E24))</f>
        <v>0.0578923462237769</v>
      </c>
      <c r="F25" s="7" t="n">
        <f aca="false">MAX(0,D25-3*SQRT(D25*(1-D25)/B25))</f>
        <v>0.775243901747128</v>
      </c>
      <c r="G25" s="6" t="n">
        <v>0.95</v>
      </c>
      <c r="H25" s="55" t="n">
        <f aca="false">(C25-D25)/E25</f>
        <v>-0.162267515467204</v>
      </c>
      <c r="I25" s="55" t="n">
        <f aca="false">IF(P25="y",I24,IF(K24,0,MAX(0,I24+H25-0.5)))</f>
        <v>0.890758877770769</v>
      </c>
      <c r="J25" s="55" t="n">
        <f aca="false">IF(P25="y",J24,IF(K24,0,MAX(0,J24-H25+0.5)))</f>
        <v>0.867392038538636</v>
      </c>
      <c r="K25" s="56" t="n">
        <f aca="false" t="array" ref="K25:K25">IFERROR(OR(ABS(I25)&gt;=4, ABS(J25)&gt;=4),FALSE())</f>
        <v>0</v>
      </c>
      <c r="L25" s="5" t="n">
        <f aca="false">IF(K24,0,L24+1)</f>
        <v>6</v>
      </c>
      <c r="M25" s="7" t="n">
        <f aca="false">IF(P25="y","",C25)</f>
        <v>0.846244605210047</v>
      </c>
      <c r="N25" s="5" t="n">
        <f aca="false">MIN(5,N24+1)</f>
        <v>5</v>
      </c>
      <c r="O25" s="5" t="str">
        <f aca="false">IF(C25&gt;=G25,"Yes","No")</f>
        <v>No</v>
      </c>
      <c r="P25" s="57"/>
    </row>
    <row r="26" customFormat="false" ht="15" hidden="false" customHeight="true" outlineLevel="0" collapsed="false">
      <c r="A26" s="60" t="n">
        <f aca="false">'Raw-Data'!A18</f>
        <v>46207</v>
      </c>
      <c r="B26" s="61" t="n">
        <f aca="false">'Raw-Data'!B18</f>
        <v>183</v>
      </c>
      <c r="C26" s="62" t="n">
        <f aca="false">'Raw-Data'!C18</f>
        <v>0.879220839375617</v>
      </c>
      <c r="D26" s="62" t="n">
        <f aca="true">IF(NOT($K25),D25,AVERAGE(OFFSET($M25,-1*MAX($L25,N25),0):OFFSET($M25,0,0)))</f>
        <v>0.855638652396347</v>
      </c>
      <c r="E26" s="63" t="n">
        <f aca="true">IF(NOT($K25),E25,IFERROR(STDEV(OFFSET($M25,-1*MAX($L25,N25),0):OFFSET($M25,0,0)),E25))</f>
        <v>0.0578923462237769</v>
      </c>
      <c r="F26" s="62" t="n">
        <f aca="false">MAX(0,D26-3*SQRT(D26*(1-D26)/B26))</f>
        <v>0.777697581049417</v>
      </c>
      <c r="G26" s="64" t="n">
        <v>0.95</v>
      </c>
      <c r="H26" s="65" t="n">
        <f aca="false">(C26-D26)/E26</f>
        <v>0.407345504500987</v>
      </c>
      <c r="I26" s="65" t="n">
        <f aca="false">IF(P26="y",I25,IF(K25,0,MAX(0,I25+H26-0.5)))</f>
        <v>0.798104382271755</v>
      </c>
      <c r="J26" s="65" t="n">
        <f aca="false">IF(P26="y",J25,IF(K25,0,MAX(0,J25-H26+0.5)))</f>
        <v>0.96004653403765</v>
      </c>
      <c r="K26" s="61" t="n">
        <f aca="false" t="array" ref="K26:K26">IFERROR(OR(ABS(I26)&gt;=4, ABS(J26)&gt;=4),FALSE())</f>
        <v>0</v>
      </c>
      <c r="L26" s="61" t="n">
        <f aca="false">IF(K25,0,L25+1)</f>
        <v>7</v>
      </c>
      <c r="M26" s="62" t="n">
        <f aca="false">IF(P26="y","",C26)</f>
        <v>0.879220839375617</v>
      </c>
      <c r="N26" s="61" t="n">
        <f aca="false">MIN(5,N25+1)</f>
        <v>5</v>
      </c>
      <c r="O26" s="66" t="str">
        <f aca="false">IF(C26&gt;=G26,"Yes","No")</f>
        <v>No</v>
      </c>
      <c r="P26" s="57"/>
    </row>
    <row r="27" customFormat="false" ht="15" hidden="false" customHeight="true" outlineLevel="0" collapsed="false">
      <c r="A27" s="53" t="n">
        <f aca="false">'Raw-Data'!A17</f>
        <v>46208</v>
      </c>
      <c r="B27" s="5" t="n">
        <f aca="false">'Raw-Data'!B17</f>
        <v>197</v>
      </c>
      <c r="C27" s="7" t="n">
        <f aca="false">'Raw-Data'!C17</f>
        <v>0.884932045194039</v>
      </c>
      <c r="D27" s="7" t="n">
        <f aca="true">IF(NOT($K26),D26,AVERAGE(OFFSET($M26,-1*MAX($L26,N26),0):OFFSET($M26,0,0)))</f>
        <v>0.855638652396347</v>
      </c>
      <c r="E27" s="54" t="n">
        <f aca="true">IF(NOT($K26),E26,IFERROR(STDEV(OFFSET($M26,-1*MAX($L26,N26),0):OFFSET($M26,0,0)),E26))</f>
        <v>0.0578923462237769</v>
      </c>
      <c r="F27" s="7" t="n">
        <f aca="false">MAX(0,D27-3*SQRT(D27*(1-D27)/B27))</f>
        <v>0.780518094796657</v>
      </c>
      <c r="G27" s="6" t="n">
        <v>0.95</v>
      </c>
      <c r="H27" s="55" t="n">
        <f aca="false">(C27-D27)/E27</f>
        <v>0.50599767859575</v>
      </c>
      <c r="I27" s="55" t="n">
        <f aca="false">IF(P27="y",I26,IF(K26,0,MAX(0,I26+H27-0.5)))</f>
        <v>0.804102060867505</v>
      </c>
      <c r="J27" s="55" t="n">
        <f aca="false">IF(P27="y",J26,IF(K26,0,MAX(0,J26-H27+0.5)))</f>
        <v>0.9540488554419</v>
      </c>
      <c r="K27" s="56" t="n">
        <f aca="false" t="array" ref="K27:K27">IFERROR(OR(ABS(I27)&gt;=4, ABS(J27)&gt;=4),FALSE())</f>
        <v>0</v>
      </c>
      <c r="L27" s="5" t="n">
        <f aca="false">IF(K26,0,L26+1)</f>
        <v>8</v>
      </c>
      <c r="M27" s="7" t="n">
        <f aca="false">IF(P27="y","",C27)</f>
        <v>0.884932045194039</v>
      </c>
      <c r="N27" s="5" t="n">
        <f aca="false">MIN(5,N26+1)</f>
        <v>5</v>
      </c>
      <c r="O27" s="5" t="str">
        <f aca="false">IF(C27&gt;=G27,"Yes","No")</f>
        <v>No</v>
      </c>
      <c r="P27" s="57"/>
    </row>
    <row r="28" customFormat="false" ht="15" hidden="false" customHeight="true" outlineLevel="0" collapsed="false">
      <c r="A28" s="60" t="n">
        <f aca="false">'Raw-Data'!A16</f>
        <v>46209</v>
      </c>
      <c r="B28" s="61" t="n">
        <f aca="false">'Raw-Data'!B16</f>
        <v>142</v>
      </c>
      <c r="C28" s="62" t="n">
        <f aca="false">'Raw-Data'!C16</f>
        <v>0.890721522115147</v>
      </c>
      <c r="D28" s="62" t="n">
        <f aca="true">IF(NOT($K27),D27,AVERAGE(OFFSET($M27,-1*MAX($L27,N27),0):OFFSET($M27,0,0)))</f>
        <v>0.855638652396347</v>
      </c>
      <c r="E28" s="63" t="n">
        <f aca="true">IF(NOT($K27),E27,IFERROR(STDEV(OFFSET($M27,-1*MAX($L27,N27),0):OFFSET($M27,0,0)),E27))</f>
        <v>0.0578923462237769</v>
      </c>
      <c r="F28" s="62" t="n">
        <f aca="false">MAX(0,D28-3*SQRT(D28*(1-D28)/B28))</f>
        <v>0.767158116608254</v>
      </c>
      <c r="G28" s="64" t="n">
        <v>0.95</v>
      </c>
      <c r="H28" s="65" t="n">
        <f aca="false">(C28-D28)/E28</f>
        <v>0.606001863928454</v>
      </c>
      <c r="I28" s="65" t="n">
        <f aca="false">IF(P28="y",I27,IF(K27,0,MAX(0,I27+H28-0.5)))</f>
        <v>0.910103924795958</v>
      </c>
      <c r="J28" s="65" t="n">
        <f aca="false">IF(P28="y",J27,IF(K27,0,MAX(0,J27-H28+0.5)))</f>
        <v>0.848046991513447</v>
      </c>
      <c r="K28" s="61" t="n">
        <f aca="false" t="array" ref="K28:K28">IFERROR(OR(ABS(I28)&gt;=4, ABS(J28)&gt;=4),FALSE())</f>
        <v>0</v>
      </c>
      <c r="L28" s="61" t="n">
        <f aca="false">IF(K27,0,L27+1)</f>
        <v>9</v>
      </c>
      <c r="M28" s="62" t="n">
        <f aca="false">IF(P28="y","",C28)</f>
        <v>0.890721522115147</v>
      </c>
      <c r="N28" s="61" t="n">
        <f aca="false">MIN(5,N27+1)</f>
        <v>5</v>
      </c>
      <c r="O28" s="66" t="str">
        <f aca="false">IF(C28&gt;=G28,"Yes","No")</f>
        <v>No</v>
      </c>
      <c r="P28" s="57"/>
    </row>
    <row r="29" customFormat="false" ht="15" hidden="false" customHeight="true" outlineLevel="0" collapsed="false">
      <c r="A29" s="53" t="n">
        <f aca="false">'Raw-Data'!A15</f>
        <v>46210</v>
      </c>
      <c r="B29" s="5" t="n">
        <f aca="false">'Raw-Data'!B15</f>
        <v>156</v>
      </c>
      <c r="C29" s="7" t="n">
        <f aca="false">'Raw-Data'!C15</f>
        <v>0.871438012159661</v>
      </c>
      <c r="D29" s="7" t="n">
        <f aca="true">IF(NOT($K28),D28,AVERAGE(OFFSET($M28,-1*MAX($L28,N28),0):OFFSET($M28,0,0)))</f>
        <v>0.855638652396347</v>
      </c>
      <c r="E29" s="54" t="n">
        <f aca="true">IF(NOT($K28),E28,IFERROR(STDEV(OFFSET($M28,-1*MAX($L28,N28),0):OFFSET($M28,0,0)),E28))</f>
        <v>0.0578923462237769</v>
      </c>
      <c r="F29" s="7" t="n">
        <f aca="false">MAX(0,D29-3*SQRT(D29*(1-D29)/B29))</f>
        <v>0.77122171019812</v>
      </c>
      <c r="G29" s="6" t="n">
        <v>0.95</v>
      </c>
      <c r="H29" s="55" t="n">
        <f aca="false">(C29-D29)/E29</f>
        <v>0.272909301382328</v>
      </c>
      <c r="I29" s="55" t="n">
        <f aca="false">IF(P29="y",I28,IF(K28,0,MAX(0,I28+H29-0.5)))</f>
        <v>0.683013226178287</v>
      </c>
      <c r="J29" s="55" t="n">
        <f aca="false">IF(P29="y",J28,IF(K28,0,MAX(0,J28-H29+0.5)))</f>
        <v>1.07513769013112</v>
      </c>
      <c r="K29" s="56" t="n">
        <f aca="false" t="array" ref="K29:K29">IFERROR(OR(ABS(I29)&gt;=4, ABS(J29)&gt;=4),FALSE())</f>
        <v>0</v>
      </c>
      <c r="L29" s="5" t="n">
        <f aca="false">IF(K28,0,L28+1)</f>
        <v>10</v>
      </c>
      <c r="M29" s="7" t="n">
        <f aca="false">IF(P29="y","",C29)</f>
        <v>0.871438012159661</v>
      </c>
      <c r="N29" s="5" t="n">
        <f aca="false">MIN(5,N28+1)</f>
        <v>5</v>
      </c>
      <c r="O29" s="5" t="str">
        <f aca="false">IF(C29&gt;=G29,"Yes","No")</f>
        <v>No</v>
      </c>
      <c r="P29" s="57"/>
    </row>
    <row r="30" customFormat="false" ht="15" hidden="false" customHeight="true" outlineLevel="0" collapsed="false">
      <c r="A30" s="60" t="n">
        <f aca="false">'Raw-Data'!A14</f>
        <v>46211</v>
      </c>
      <c r="B30" s="61" t="n">
        <f aca="false">'Raw-Data'!B14</f>
        <v>160</v>
      </c>
      <c r="C30" s="62" t="n">
        <f aca="false">'Raw-Data'!C14</f>
        <v>0.847834302325581</v>
      </c>
      <c r="D30" s="62" t="n">
        <f aca="true">IF(NOT($K29),D29,AVERAGE(OFFSET($M29,-1*MAX($L29,N29),0):OFFSET($M29,0,0)))</f>
        <v>0.855638652396347</v>
      </c>
      <c r="E30" s="63" t="n">
        <f aca="true">IF(NOT($K29),E29,IFERROR(STDEV(OFFSET($M29,-1*MAX($L29,N29),0):OFFSET($M29,0,0)),E29))</f>
        <v>0.0578923462237769</v>
      </c>
      <c r="F30" s="62" t="n">
        <f aca="false">MAX(0,D30-3*SQRT(D30*(1-D30)/B30))</f>
        <v>0.772283600798701</v>
      </c>
      <c r="G30" s="64" t="n">
        <v>0.95</v>
      </c>
      <c r="H30" s="65" t="n">
        <f aca="false">(C30-D30)/E30</f>
        <v>-0.134807976871392</v>
      </c>
      <c r="I30" s="65" t="n">
        <f aca="false">IF(P30="y",I29,IF(K29,0,MAX(0,I29+H30-0.5)))</f>
        <v>0.0482052493068947</v>
      </c>
      <c r="J30" s="65" t="n">
        <f aca="false">IF(P30="y",J29,IF(K29,0,MAX(0,J29-H30+0.5)))</f>
        <v>1.70994566700251</v>
      </c>
      <c r="K30" s="61" t="n">
        <f aca="false" t="array" ref="K30:K30">IFERROR(OR(ABS(I30)&gt;=4, ABS(J30)&gt;=4),FALSE())</f>
        <v>0</v>
      </c>
      <c r="L30" s="61" t="n">
        <f aca="false">IF(K29,0,L29+1)</f>
        <v>11</v>
      </c>
      <c r="M30" s="62" t="n">
        <f aca="false">IF(P30="y","",C30)</f>
        <v>0.847834302325581</v>
      </c>
      <c r="N30" s="61" t="n">
        <f aca="false">MIN(5,N29+1)</f>
        <v>5</v>
      </c>
      <c r="O30" s="66" t="str">
        <f aca="false">IF(C30&gt;=G30,"Yes","No")</f>
        <v>No</v>
      </c>
      <c r="P30" s="57"/>
    </row>
    <row r="31" customFormat="false" ht="15" hidden="false" customHeight="true" outlineLevel="0" collapsed="false">
      <c r="A31" s="53" t="n">
        <f aca="false">'Raw-Data'!A13</f>
        <v>46212</v>
      </c>
      <c r="B31" s="5" t="n">
        <f aca="false">'Raw-Data'!B13</f>
        <v>143</v>
      </c>
      <c r="C31" s="7" t="n">
        <f aca="false">'Raw-Data'!C13</f>
        <v>0.968406274032872</v>
      </c>
      <c r="D31" s="7" t="n">
        <f aca="true">IF(NOT($K30),D30,AVERAGE(OFFSET($M30,-1*MAX($L30,N30),0):OFFSET($M30,0,0)))</f>
        <v>0.855638652396347</v>
      </c>
      <c r="E31" s="54" t="n">
        <f aca="true">IF(NOT($K30),E30,IFERROR(STDEV(OFFSET($M30,-1*MAX($L30,N30),0):OFFSET($M30,0,0)),E30))</f>
        <v>0.0578923462237769</v>
      </c>
      <c r="F31" s="7" t="n">
        <f aca="false">MAX(0,D31-3*SQRT(D31*(1-D31)/B31))</f>
        <v>0.767468031871457</v>
      </c>
      <c r="G31" s="6" t="n">
        <v>0.95</v>
      </c>
      <c r="H31" s="55" t="n">
        <f aca="false">(C31-D31)/E31</f>
        <v>1.94788480675207</v>
      </c>
      <c r="I31" s="55" t="n">
        <f aca="false">IF(P31="y",I30,IF(K30,0,MAX(0,I30+H31-0.5)))</f>
        <v>1.49609005605897</v>
      </c>
      <c r="J31" s="55" t="n">
        <f aca="false">IF(P31="y",J30,IF(K30,0,MAX(0,J30-H31+0.5)))</f>
        <v>0.262060860250438</v>
      </c>
      <c r="K31" s="56" t="n">
        <f aca="false" t="array" ref="K31:K31">IFERROR(OR(ABS(I31)&gt;=4, ABS(J31)&gt;=4),FALSE())</f>
        <v>0</v>
      </c>
      <c r="L31" s="5" t="n">
        <f aca="false">IF(K30,0,L30+1)</f>
        <v>12</v>
      </c>
      <c r="M31" s="7" t="n">
        <f aca="false">IF(P31="y","",C31)</f>
        <v>0.968406274032872</v>
      </c>
      <c r="N31" s="5" t="n">
        <f aca="false">MIN(5,N30+1)</f>
        <v>5</v>
      </c>
      <c r="O31" s="5" t="str">
        <f aca="false">IF(C31&gt;=G31,"Yes","No")</f>
        <v>Yes</v>
      </c>
      <c r="P31" s="57"/>
    </row>
    <row r="32" customFormat="false" ht="15" hidden="false" customHeight="true" outlineLevel="0" collapsed="false">
      <c r="A32" s="60" t="n">
        <f aca="false">'Raw-Data'!A12</f>
        <v>46213</v>
      </c>
      <c r="B32" s="61" t="n">
        <f aca="false">'Raw-Data'!B12</f>
        <v>179</v>
      </c>
      <c r="C32" s="62" t="n">
        <f aca="false">'Raw-Data'!C12</f>
        <v>0.939525451339299</v>
      </c>
      <c r="D32" s="62" t="n">
        <f aca="true">IF(NOT($K31),D31,AVERAGE(OFFSET($M31,-1*MAX($L31,N31),0):OFFSET($M31,0,0)))</f>
        <v>0.855638652396347</v>
      </c>
      <c r="E32" s="63" t="n">
        <f aca="true">IF(NOT($K31),E31,IFERROR(STDEV(OFFSET($M31,-1*MAX($L31,N31),0):OFFSET($M31,0,0)),E31))</f>
        <v>0.0578923462237769</v>
      </c>
      <c r="F32" s="62" t="n">
        <f aca="false">MAX(0,D32-3*SQRT(D32*(1-D32)/B32))</f>
        <v>0.776831542562846</v>
      </c>
      <c r="G32" s="64" t="n">
        <v>0.95</v>
      </c>
      <c r="H32" s="65" t="n">
        <f aca="false">(C32-D32)/E32</f>
        <v>1.44901363331687</v>
      </c>
      <c r="I32" s="65" t="n">
        <f aca="false">IF(P32="y",I31,IF(K31,0,MAX(0,I31+H32-0.5)))</f>
        <v>2.44510368937583</v>
      </c>
      <c r="J32" s="65" t="n">
        <f aca="false">IF(P32="y",J31,IF(K31,0,MAX(0,J31-H32+0.5)))</f>
        <v>0</v>
      </c>
      <c r="K32" s="61" t="n">
        <f aca="false" t="array" ref="K32:K32">IFERROR(OR(ABS(I32)&gt;=4, ABS(J32)&gt;=4),FALSE())</f>
        <v>0</v>
      </c>
      <c r="L32" s="61" t="n">
        <f aca="false">IF(K31,0,L31+1)</f>
        <v>13</v>
      </c>
      <c r="M32" s="62" t="n">
        <f aca="false">IF(P32="y","",C32)</f>
        <v>0.939525451339299</v>
      </c>
      <c r="N32" s="61" t="n">
        <f aca="false">MIN(5,N31+1)</f>
        <v>5</v>
      </c>
      <c r="O32" s="66" t="str">
        <f aca="false">IF(C32&gt;=G32,"Yes","No")</f>
        <v>No</v>
      </c>
      <c r="P32" s="57"/>
    </row>
    <row r="33" customFormat="false" ht="15" hidden="false" customHeight="true" outlineLevel="0" collapsed="false">
      <c r="A33" s="53" t="n">
        <f aca="false">'Raw-Data'!A11</f>
        <v>46214</v>
      </c>
      <c r="B33" s="5" t="n">
        <f aca="false">'Raw-Data'!B11</f>
        <v>184</v>
      </c>
      <c r="C33" s="7" t="n">
        <f aca="false">'Raw-Data'!C11</f>
        <v>0.958553433563592</v>
      </c>
      <c r="D33" s="7" t="n">
        <f aca="true">IF(NOT($K32),D32,AVERAGE(OFFSET($M32,-1*MAX($L32,N32),0):OFFSET($M32,0,0)))</f>
        <v>0.855638652396347</v>
      </c>
      <c r="E33" s="54" t="n">
        <f aca="true">IF(NOT($K32),E32,IFERROR(STDEV(OFFSET($M32,-1*MAX($L32,N32),0):OFFSET($M32,0,0)),E32))</f>
        <v>0.0578923462237769</v>
      </c>
      <c r="F33" s="7" t="n">
        <f aca="false">MAX(0,D33-3*SQRT(D33*(1-D33)/B33))</f>
        <v>0.777909665990422</v>
      </c>
      <c r="G33" s="6" t="n">
        <v>0.95</v>
      </c>
      <c r="H33" s="55" t="n">
        <f aca="false">(C33-D33)/E33</f>
        <v>1.77769235279286</v>
      </c>
      <c r="I33" s="55" t="n">
        <f aca="false">IF(P33="y",I32,IF(K32,0,MAX(0,I32+H33-0.5)))</f>
        <v>3.7227960421687</v>
      </c>
      <c r="J33" s="55" t="n">
        <f aca="false">IF(P33="y",J32,IF(K32,0,MAX(0,J32-H33+0.5)))</f>
        <v>0</v>
      </c>
      <c r="K33" s="56" t="n">
        <f aca="false" t="array" ref="K33:K33">IFERROR(OR(ABS(I33)&gt;=4, ABS(J33)&gt;=4),FALSE())</f>
        <v>0</v>
      </c>
      <c r="L33" s="5" t="n">
        <f aca="false">IF(K32,0,L32+1)</f>
        <v>14</v>
      </c>
      <c r="M33" s="7" t="n">
        <f aca="false">IF(P33="y","",C33)</f>
        <v>0.958553433563592</v>
      </c>
      <c r="N33" s="5" t="n">
        <f aca="false">MIN(5,N32+1)</f>
        <v>5</v>
      </c>
      <c r="O33" s="5" t="str">
        <f aca="false">IF(C33&gt;=G33,"Yes","No")</f>
        <v>Yes</v>
      </c>
      <c r="P33" s="57"/>
    </row>
    <row r="34" customFormat="false" ht="15" hidden="false" customHeight="true" outlineLevel="0" collapsed="false">
      <c r="A34" s="60" t="n">
        <f aca="false">'Raw-Data'!A10</f>
        <v>46215</v>
      </c>
      <c r="B34" s="61" t="n">
        <f aca="false">'Raw-Data'!B10</f>
        <v>182</v>
      </c>
      <c r="C34" s="62" t="n">
        <f aca="false">'Raw-Data'!C10</f>
        <v>0.912070699495179</v>
      </c>
      <c r="D34" s="62" t="n">
        <f aca="true">IF(NOT($K33),D33,AVERAGE(OFFSET($M33,-1*MAX($L33,N33),0):OFFSET($M33,0,0)))</f>
        <v>0.855638652396347</v>
      </c>
      <c r="E34" s="63" t="n">
        <f aca="true">IF(NOT($K33),E33,IFERROR(STDEV(OFFSET($M33,-1*MAX($L33,N33),0):OFFSET($M33,0,0)),E33))</f>
        <v>0.0578923462237769</v>
      </c>
      <c r="F34" s="62" t="n">
        <f aca="false">MAX(0,D34-3*SQRT(D34*(1-D34)/B34))</f>
        <v>0.777483750547891</v>
      </c>
      <c r="G34" s="64" t="n">
        <v>0.95</v>
      </c>
      <c r="H34" s="65" t="n">
        <f aca="false">(C34-D34)/E34</f>
        <v>0.974775609900148</v>
      </c>
      <c r="I34" s="65" t="n">
        <f aca="false">IF(P34="y",I33,IF(K33,0,MAX(0,I33+H34-0.5)))</f>
        <v>4.19757165206884</v>
      </c>
      <c r="J34" s="65" t="n">
        <f aca="false">IF(P34="y",J33,IF(K33,0,MAX(0,J33-H34+0.5)))</f>
        <v>0</v>
      </c>
      <c r="K34" s="61" t="n">
        <f aca="false" t="array" ref="K34:K34">IFERROR(OR(ABS(I34)&gt;=4, ABS(J34)&gt;=4),FALSE())</f>
        <v>1</v>
      </c>
      <c r="L34" s="61" t="n">
        <f aca="false">IF(K33,0,L33+1)</f>
        <v>15</v>
      </c>
      <c r="M34" s="62" t="n">
        <f aca="false">IF(P34="y","",C34)</f>
        <v>0.912070699495179</v>
      </c>
      <c r="N34" s="61" t="n">
        <f aca="false">MIN(5,N33+1)</f>
        <v>5</v>
      </c>
      <c r="O34" s="66" t="str">
        <f aca="false">IF(C34&gt;=G34,"Yes","No")</f>
        <v>No</v>
      </c>
      <c r="P34" s="57"/>
    </row>
    <row r="35" customFormat="false" ht="15" hidden="false" customHeight="true" outlineLevel="0" collapsed="false">
      <c r="A35" s="53" t="n">
        <f aca="false">'Raw-Data'!A9</f>
        <v>46216</v>
      </c>
      <c r="B35" s="5" t="n">
        <f aca="false">'Raw-Data'!B9</f>
        <v>191</v>
      </c>
      <c r="C35" s="7" t="n">
        <f aca="false">'Raw-Data'!C9</f>
        <v>0.901840710106032</v>
      </c>
      <c r="D35" s="7" t="n">
        <f aca="true">IF(NOT($K34),D34,AVERAGE(OFFSET($M34,-1*MAX($L34,N34),0):OFFSET($M34,0,0)))</f>
        <v>0.898101532915124</v>
      </c>
      <c r="E35" s="54" t="n">
        <f aca="true">IF(NOT($K34),E34,IFERROR(STDEV(OFFSET($M34,-1*MAX($L34,N34),0):OFFSET($M34,0,0)),E34))</f>
        <v>0.038871609858788</v>
      </c>
      <c r="F35" s="7" t="n">
        <f aca="false">MAX(0,D35-3*SQRT(D35*(1-D35)/B35))</f>
        <v>0.832433937273441</v>
      </c>
      <c r="G35" s="6" t="n">
        <v>0.95</v>
      </c>
      <c r="H35" s="55" t="n">
        <f aca="false">(C35-D35)/E35</f>
        <v>0.0961930109015735</v>
      </c>
      <c r="I35" s="55" t="n">
        <f aca="false">IF(P35="y",I34,IF(K34,0,MAX(0,I34+H35-0.5)))</f>
        <v>0</v>
      </c>
      <c r="J35" s="55" t="n">
        <f aca="false">IF(P35="y",J34,IF(K34,0,MAX(0,J34-H35+0.5)))</f>
        <v>0</v>
      </c>
      <c r="K35" s="56" t="n">
        <f aca="false" t="array" ref="K35:K35">IFERROR(OR(ABS(I35)&gt;=4, ABS(J35)&gt;=4),FALSE())</f>
        <v>0</v>
      </c>
      <c r="L35" s="5" t="n">
        <f aca="false">IF(K34,0,L34+1)</f>
        <v>0</v>
      </c>
      <c r="M35" s="7" t="n">
        <f aca="false">IF(P35="y","",C35)</f>
        <v>0.901840710106032</v>
      </c>
      <c r="N35" s="5" t="n">
        <f aca="false">MIN(5,N34+1)</f>
        <v>5</v>
      </c>
      <c r="O35" s="5" t="str">
        <f aca="false">IF(C35&gt;=G35,"Yes","No")</f>
        <v>No</v>
      </c>
      <c r="P35" s="57"/>
    </row>
    <row r="36" customFormat="false" ht="15" hidden="false" customHeight="true" outlineLevel="0" collapsed="false">
      <c r="A36" s="60" t="n">
        <f aca="false">'Raw-Data'!A8</f>
        <v>46217</v>
      </c>
      <c r="B36" s="61" t="n">
        <f aca="false">'Raw-Data'!B8</f>
        <v>194</v>
      </c>
      <c r="C36" s="62" t="n">
        <f aca="false">'Raw-Data'!C8</f>
        <v>0.912486299302654</v>
      </c>
      <c r="D36" s="62" t="n">
        <f aca="true">IF(NOT($K35),D35,AVERAGE(OFFSET($M35,-1*MAX($L35,N35),0):OFFSET($M35,0,0)))</f>
        <v>0.898101532915124</v>
      </c>
      <c r="E36" s="63" t="n">
        <f aca="true">IF(NOT($K35),E35,IFERROR(STDEV(OFFSET($M35,-1*MAX($L35,N35),0):OFFSET($M35,0,0)),E35))</f>
        <v>0.038871609858788</v>
      </c>
      <c r="F36" s="62" t="n">
        <f aca="false">MAX(0,D36-3*SQRT(D36*(1-D36)/B36))</f>
        <v>0.832943654649478</v>
      </c>
      <c r="G36" s="64" t="n">
        <v>0.95</v>
      </c>
      <c r="H36" s="65" t="n">
        <f aca="false">(C36-D36)/E36</f>
        <v>0.370058416406903</v>
      </c>
      <c r="I36" s="65" t="n">
        <f aca="false">IF(P36="y",I35,IF(K35,0,MAX(0,I35+H36-0.5)))</f>
        <v>0</v>
      </c>
      <c r="J36" s="65" t="n">
        <f aca="false">IF(P36="y",J35,IF(K35,0,MAX(0,J35-H36+0.5)))</f>
        <v>0.129941583593097</v>
      </c>
      <c r="K36" s="61" t="n">
        <f aca="false" t="array" ref="K36:K36">IFERROR(OR(ABS(I36)&gt;=4, ABS(J36)&gt;=4),FALSE())</f>
        <v>0</v>
      </c>
      <c r="L36" s="61" t="n">
        <f aca="false">IF(K35,0,L35+1)</f>
        <v>1</v>
      </c>
      <c r="M36" s="62" t="n">
        <f aca="false">IF(P36="y","",C36)</f>
        <v>0.912486299302654</v>
      </c>
      <c r="N36" s="61" t="n">
        <f aca="false">MIN(5,N35+1)</f>
        <v>5</v>
      </c>
      <c r="O36" s="66" t="str">
        <f aca="false">IF(C36&gt;=G36,"Yes","No")</f>
        <v>No</v>
      </c>
      <c r="P36" s="57"/>
    </row>
    <row r="37" customFormat="false" ht="15" hidden="false" customHeight="true" outlineLevel="0" collapsed="false">
      <c r="A37" s="53" t="n">
        <f aca="false">'Raw-Data'!A7</f>
        <v>46218</v>
      </c>
      <c r="B37" s="5" t="n">
        <f aca="false">'Raw-Data'!B7</f>
        <v>181</v>
      </c>
      <c r="C37" s="7" t="n">
        <f aca="false">'Raw-Data'!C7</f>
        <v>0.851876795580111</v>
      </c>
      <c r="D37" s="7" t="n">
        <f aca="true">IF(NOT($K36),D36,AVERAGE(OFFSET($M36,-1*MAX($L36,N36),0):OFFSET($M36,0,0)))</f>
        <v>0.898101532915124</v>
      </c>
      <c r="E37" s="54" t="n">
        <f aca="true">IF(NOT($K36),E36,IFERROR(STDEV(OFFSET($M36,-1*MAX($L36,N36),0):OFFSET($M36,0,0)),E36))</f>
        <v>0.038871609858788</v>
      </c>
      <c r="F37" s="7" t="n">
        <f aca="false">MAX(0,D37-3*SQRT(D37*(1-D37)/B37))</f>
        <v>0.830644301716604</v>
      </c>
      <c r="G37" s="6" t="n">
        <v>0.95</v>
      </c>
      <c r="H37" s="55" t="n">
        <f aca="false">(C37-D37)/E37</f>
        <v>-1.18916446998046</v>
      </c>
      <c r="I37" s="55" t="n">
        <f aca="false">IF(P37="y",I36,IF(K36,0,MAX(0,I36+H37-0.5)))</f>
        <v>0</v>
      </c>
      <c r="J37" s="55" t="n">
        <f aca="false">IF(P37="y",J36,IF(K36,0,MAX(0,J36-H37+0.5)))</f>
        <v>1.81910605357356</v>
      </c>
      <c r="K37" s="56" t="n">
        <f aca="false" t="array" ref="K37:K37">IFERROR(OR(ABS(I37)&gt;=4, ABS(J37)&gt;=4),FALSE())</f>
        <v>0</v>
      </c>
      <c r="L37" s="5" t="n">
        <f aca="false">IF(K36,0,L36+1)</f>
        <v>2</v>
      </c>
      <c r="M37" s="7" t="n">
        <f aca="false">IF(P37="y","",C37)</f>
        <v>0.851876795580111</v>
      </c>
      <c r="N37" s="5" t="n">
        <f aca="false">MIN(5,N36+1)</f>
        <v>5</v>
      </c>
      <c r="O37" s="5" t="str">
        <f aca="false">IF(C37&gt;=G37,"Yes","No")</f>
        <v>No</v>
      </c>
      <c r="P37" s="57"/>
    </row>
    <row r="38" customFormat="false" ht="15" hidden="false" customHeight="true" outlineLevel="0" collapsed="false">
      <c r="A38" s="60" t="n">
        <f aca="false">'Raw-Data'!A6</f>
        <v>46219</v>
      </c>
      <c r="B38" s="61" t="n">
        <f aca="false">'Raw-Data'!B6</f>
        <v>190</v>
      </c>
      <c r="C38" s="62" t="n">
        <f aca="false">'Raw-Data'!C6</f>
        <v>0.869998947368421</v>
      </c>
      <c r="D38" s="62" t="n">
        <f aca="true">IF(NOT($K37),D37,AVERAGE(OFFSET($M37,-1*MAX($L37,N37),0):OFFSET($M37,0,0)))</f>
        <v>0.898101532915124</v>
      </c>
      <c r="E38" s="63" t="n">
        <f aca="true">IF(NOT($K37),E37,IFERROR(STDEV(OFFSET($M37,-1*MAX($L37,N37),0):OFFSET($M37,0,0)),E37))</f>
        <v>0.038871609858788</v>
      </c>
      <c r="F38" s="62" t="n">
        <f aca="false">MAX(0,D38-3*SQRT(D38*(1-D38)/B38))</f>
        <v>0.832261354595688</v>
      </c>
      <c r="G38" s="64" t="n">
        <v>0.95</v>
      </c>
      <c r="H38" s="65" t="n">
        <f aca="false">(C38-D38)/E38</f>
        <v>-0.722959137756139</v>
      </c>
      <c r="I38" s="65" t="n">
        <f aca="false">IF(P38="y",I37,IF(K37,0,MAX(0,I37+H38-0.5)))</f>
        <v>0</v>
      </c>
      <c r="J38" s="65" t="n">
        <f aca="false">IF(P38="y",J37,IF(K37,0,MAX(0,J37-H38+0.5)))</f>
        <v>3.0420651913297</v>
      </c>
      <c r="K38" s="61" t="n">
        <f aca="false" t="array" ref="K38:K38">IFERROR(OR(ABS(I38)&gt;=4, ABS(J38)&gt;=4),FALSE())</f>
        <v>0</v>
      </c>
      <c r="L38" s="61" t="n">
        <f aca="false">IF(K37,0,L37+1)</f>
        <v>3</v>
      </c>
      <c r="M38" s="62" t="n">
        <f aca="false">IF(P38="y","",C38)</f>
        <v>0.869998947368421</v>
      </c>
      <c r="N38" s="61" t="n">
        <f aca="false">MIN(5,N37+1)</f>
        <v>5</v>
      </c>
      <c r="O38" s="66" t="str">
        <f aca="false">IF(C38&gt;=G38,"Yes","No")</f>
        <v>No</v>
      </c>
      <c r="P38" s="57"/>
    </row>
    <row r="39" customFormat="false" ht="15" hidden="false" customHeight="true" outlineLevel="0" collapsed="false">
      <c r="A39" s="53" t="n">
        <f aca="false">'Raw-Data'!A5</f>
        <v>46220</v>
      </c>
      <c r="B39" s="5" t="n">
        <f aca="false">'Raw-Data'!B5</f>
        <v>168</v>
      </c>
      <c r="C39" s="7" t="n">
        <f aca="false">'Raw-Data'!C5</f>
        <v>0.992633333333333</v>
      </c>
      <c r="D39" s="7" t="n">
        <f aca="true">IF(NOT($K38),D38,AVERAGE(OFFSET($M38,-1*MAX($L38,N38),0):OFFSET($M38,0,0)))</f>
        <v>0.898101532915124</v>
      </c>
      <c r="E39" s="54" t="n">
        <f aca="true">IF(NOT($K38),E38,IFERROR(STDEV(OFFSET($M38,-1*MAX($L38,N38),0):OFFSET($M38,0,0)),E38))</f>
        <v>0.038871609858788</v>
      </c>
      <c r="F39" s="7" t="n">
        <f aca="false">MAX(0,D39-3*SQRT(D39*(1-D39)/B39))</f>
        <v>0.828082975620865</v>
      </c>
      <c r="G39" s="6" t="n">
        <v>0.95</v>
      </c>
      <c r="H39" s="55" t="n">
        <f aca="false">(C39-D39)/E39</f>
        <v>2.43189826100908</v>
      </c>
      <c r="I39" s="55" t="n">
        <f aca="false">IF(P39="y",I38,IF(K38,0,MAX(0,I38+H39-0.5)))</f>
        <v>1.93189826100908</v>
      </c>
      <c r="J39" s="55" t="n">
        <f aca="false">IF(P39="y",J38,IF(K38,0,MAX(0,J38-H39+0.5)))</f>
        <v>1.11016693032062</v>
      </c>
      <c r="K39" s="56" t="n">
        <f aca="false" t="array" ref="K39:K39">IFERROR(OR(ABS(I39)&gt;=4, ABS(J39)&gt;=4),FALSE())</f>
        <v>0</v>
      </c>
      <c r="L39" s="5" t="n">
        <f aca="false">IF(K38,0,L38+1)</f>
        <v>4</v>
      </c>
      <c r="M39" s="7" t="n">
        <f aca="false">IF(P39="y","",C39)</f>
        <v>0.992633333333333</v>
      </c>
      <c r="N39" s="5" t="n">
        <f aca="false">MIN(5,N38+1)</f>
        <v>5</v>
      </c>
      <c r="O39" s="5" t="str">
        <f aca="false">IF(C39&gt;=G39,"Yes","No")</f>
        <v>Yes</v>
      </c>
      <c r="P39" s="57"/>
    </row>
    <row r="40" customFormat="false" ht="15" hidden="false" customHeight="true" outlineLevel="0" collapsed="false">
      <c r="A40" s="60" t="n">
        <f aca="false">'Raw-Data'!A4</f>
        <v>46221</v>
      </c>
      <c r="B40" s="61" t="n">
        <f aca="false">'Raw-Data'!B4</f>
        <v>201</v>
      </c>
      <c r="C40" s="62" t="n">
        <f aca="false">'Raw-Data'!C4</f>
        <v>0.91934328358209</v>
      </c>
      <c r="D40" s="62" t="n">
        <f aca="true">IF(NOT($K39),D39,AVERAGE(OFFSET($M39,-1*MAX($L39,N39),0):OFFSET($M39,0,0)))</f>
        <v>0.898101532915124</v>
      </c>
      <c r="E40" s="63" t="n">
        <f aca="true">IF(NOT($K39),E39,IFERROR(STDEV(OFFSET($M39,-1*MAX($L39,N39),0):OFFSET($M39,0,0)),E39))</f>
        <v>0.038871609858788</v>
      </c>
      <c r="F40" s="62" t="n">
        <f aca="false">MAX(0,D40-3*SQRT(D40*(1-D40)/B40))</f>
        <v>0.834088298687373</v>
      </c>
      <c r="G40" s="64" t="n">
        <v>0.95</v>
      </c>
      <c r="H40" s="65" t="n">
        <f aca="false">(C40-D40)/E40</f>
        <v>0.546459247356431</v>
      </c>
      <c r="I40" s="65" t="n">
        <f aca="false">IF(P40="y",I39,IF(K39,0,MAX(0,I39+H40-0.5)))</f>
        <v>1.97835750836551</v>
      </c>
      <c r="J40" s="65" t="n">
        <f aca="false">IF(P40="y",J39,IF(K39,0,MAX(0,J39-H40+0.5)))</f>
        <v>1.06370768296419</v>
      </c>
      <c r="K40" s="61" t="n">
        <f aca="false" t="array" ref="K40:K40">IFERROR(OR(ABS(I40)&gt;=4, ABS(J40)&gt;=4),FALSE())</f>
        <v>0</v>
      </c>
      <c r="L40" s="61" t="n">
        <f aca="false">IF(K39,0,L39+1)</f>
        <v>5</v>
      </c>
      <c r="M40" s="62" t="n">
        <f aca="false">IF(P40="y","",C40)</f>
        <v>0.91934328358209</v>
      </c>
      <c r="N40" s="61" t="n">
        <f aca="false">MIN(5,N39+1)</f>
        <v>5</v>
      </c>
      <c r="O40" s="66" t="str">
        <f aca="false">IF(C40&gt;=G40,"Yes","No")</f>
        <v>No</v>
      </c>
      <c r="P40" s="57"/>
    </row>
    <row r="41" customFormat="false" ht="15" hidden="false" customHeight="true" outlineLevel="0" collapsed="false">
      <c r="A41" s="53" t="n">
        <f aca="false">'Raw-Data'!A3</f>
        <v>46222</v>
      </c>
      <c r="B41" s="5" t="n">
        <f aca="false">'Raw-Data'!B3</f>
        <v>199</v>
      </c>
      <c r="C41" s="7" t="n">
        <f aca="false">'Raw-Data'!C3</f>
        <v>0.907895477386935</v>
      </c>
      <c r="D41" s="7" t="n">
        <f aca="true">IF(NOT($K40),D40,AVERAGE(OFFSET($M40,-1*MAX($L40,N40),0):OFFSET($M40,0,0)))</f>
        <v>0.898101532915124</v>
      </c>
      <c r="E41" s="54" t="n">
        <f aca="true">IF(NOT($K40),E40,IFERROR(STDEV(OFFSET($M40,-1*MAX($L40,N40),0):OFFSET($M40,0,0)),E40))</f>
        <v>0.038871609858788</v>
      </c>
      <c r="F41" s="7" t="n">
        <f aca="false">MAX(0,D41-3*SQRT(D41*(1-D41)/B41))</f>
        <v>0.833767428334901</v>
      </c>
      <c r="G41" s="6" t="n">
        <v>0.95</v>
      </c>
      <c r="H41" s="55" t="n">
        <f aca="false">(C41-D41)/E41</f>
        <v>0.25195623508752</v>
      </c>
      <c r="I41" s="55" t="n">
        <f aca="false">IF(P41="y",I40,IF(K40,0,MAX(0,I40+H41-0.5)))</f>
        <v>1.73031374345303</v>
      </c>
      <c r="J41" s="55" t="n">
        <f aca="false">IF(P41="y",J40,IF(K40,0,MAX(0,J40-H41+0.5)))</f>
        <v>1.31175144787667</v>
      </c>
      <c r="K41" s="56" t="n">
        <f aca="false" t="array" ref="K41:K41">IFERROR(OR(ABS(I41)&gt;=4, ABS(J41)&gt;=4),FALSE())</f>
        <v>0</v>
      </c>
      <c r="L41" s="5" t="n">
        <f aca="false">IF(K40,0,L40+1)</f>
        <v>6</v>
      </c>
      <c r="M41" s="7" t="n">
        <f aca="false">IF(P41="y","",C41)</f>
        <v>0.907895477386935</v>
      </c>
      <c r="N41" s="5" t="n">
        <f aca="false">MIN(5,N40+1)</f>
        <v>5</v>
      </c>
      <c r="O41" s="5" t="str">
        <f aca="false">IF(C41&gt;=G41,"Yes","No")</f>
        <v>No</v>
      </c>
      <c r="P41" s="57"/>
    </row>
    <row r="44" customFormat="false" ht="15" hidden="false" customHeight="false" outlineLevel="0" collapsed="false">
      <c r="A44" s="70" t="s">
        <v>53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</row>
    <row r="46" customFormat="false" ht="15" hidden="false" customHeight="false" outlineLevel="0" collapsed="false">
      <c r="A46" s="71" t="s">
        <v>54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</row>
    <row r="47" customFormat="false" ht="15" hidden="false" customHeight="true" outlineLevel="0" collapsed="false">
      <c r="A47" s="72" t="s">
        <v>68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</row>
    <row r="50" customFormat="false" ht="15" hidden="false" customHeight="false" outlineLevel="0" collapsed="false">
      <c r="A50" s="71" t="s">
        <v>56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</row>
    <row r="51" customFormat="false" ht="15" hidden="false" customHeight="true" outlineLevel="0" collapsed="false">
      <c r="A51" s="72" t="s">
        <v>69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</row>
    <row r="52" customFormat="false" ht="15" hidden="false" customHeight="false" outlineLevel="0" collapsed="false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</row>
  </sheetData>
  <mergeCells count="8">
    <mergeCell ref="A1:O1"/>
    <mergeCell ref="A2:O2"/>
    <mergeCell ref="R4:S4"/>
    <mergeCell ref="A44:O44"/>
    <mergeCell ref="A46:O46"/>
    <mergeCell ref="A47:O47"/>
    <mergeCell ref="A50:O50"/>
    <mergeCell ref="A51:O52"/>
  </mergeCells>
  <conditionalFormatting sqref="K5:K41">
    <cfRule type="cellIs" priority="2" operator="equal" aboveAverage="0" equalAverage="0" bottom="0" percent="0" rank="0" text="" dxfId="0">
      <formula>1</formula>
    </cfRule>
  </conditionalFormatting>
  <conditionalFormatting sqref="O5:O41"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9" width="13"/>
    <col collapsed="false" customWidth="true" hidden="false" outlineLevel="0" max="2" min="2" style="49" width="14"/>
    <col collapsed="false" customWidth="true" hidden="false" outlineLevel="0" max="3" min="3" style="49" width="15"/>
    <col collapsed="false" customWidth="true" hidden="false" outlineLevel="0" max="4" min="4" style="49" width="12"/>
    <col collapsed="false" customWidth="true" hidden="false" outlineLevel="0" max="6" min="5" style="49" width="11"/>
    <col collapsed="false" customWidth="true" hidden="false" outlineLevel="0" max="8" min="7" style="49" width="10"/>
    <col collapsed="false" customWidth="true" hidden="false" outlineLevel="0" max="10" min="9" style="49" width="9"/>
    <col collapsed="false" customWidth="true" hidden="false" outlineLevel="0" max="11" min="11" style="49" width="14"/>
    <col collapsed="false" customWidth="true" hidden="false" outlineLevel="0" max="12" min="12" style="49" width="9"/>
    <col collapsed="false" customWidth="true" hidden="false" outlineLevel="0" max="13" min="13" style="49" width="15"/>
    <col collapsed="false" customWidth="true" hidden="false" outlineLevel="0" max="14" min="14" style="49" width="8"/>
    <col collapsed="false" customWidth="true" hidden="false" outlineLevel="0" max="15" min="15" style="49" width="13"/>
    <col collapsed="false" customWidth="true" hidden="false" outlineLevel="0" max="16" min="16" style="49" width="9"/>
    <col collapsed="false" customWidth="true" hidden="false" outlineLevel="0" max="18" min="18" style="49" width="30"/>
    <col collapsed="false" customWidth="true" hidden="false" outlineLevel="0" max="19" min="19" style="49" width="14"/>
  </cols>
  <sheetData>
    <row r="1" customFormat="false" ht="18" hidden="false" customHeight="true" outlineLevel="0" collapsed="false">
      <c r="A1" s="50" t="s">
        <v>70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customFormat="false" ht="15" hidden="false" customHeight="true" outlineLevel="0" collapsed="false">
      <c r="A2" s="51" t="s">
        <v>31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4" customFormat="false" ht="15" hidden="false" customHeight="true" outlineLevel="0" collapsed="false">
      <c r="A4" s="3" t="s">
        <v>20</v>
      </c>
      <c r="B4" s="3" t="s">
        <v>32</v>
      </c>
      <c r="C4" s="3" t="s">
        <v>11</v>
      </c>
      <c r="D4" s="3" t="s">
        <v>33</v>
      </c>
      <c r="E4" s="3" t="s">
        <v>34</v>
      </c>
      <c r="F4" s="3" t="s">
        <v>35</v>
      </c>
      <c r="G4" s="3" t="s">
        <v>4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R4" s="52" t="s">
        <v>45</v>
      </c>
      <c r="S4" s="52"/>
    </row>
    <row r="5" customFormat="false" ht="15" hidden="false" customHeight="true" outlineLevel="0" collapsed="false">
      <c r="A5" s="53" t="n">
        <f aca="false">'Raw-Data'!A39</f>
        <v>46186</v>
      </c>
      <c r="B5" s="5" t="n">
        <f aca="false">'Raw-Data'!B39</f>
        <v>125</v>
      </c>
      <c r="C5" s="7" t="n">
        <f aca="false">'Raw-Data'!D39</f>
        <v>0.8824</v>
      </c>
      <c r="D5" s="7" t="n">
        <v>0.85</v>
      </c>
      <c r="E5" s="54" t="n">
        <v>0.05</v>
      </c>
      <c r="F5" s="7" t="n">
        <f aca="false">MAX(0,D5-3*SQRT(D5*(1-D5)/B5))</f>
        <v>0.754187683463972</v>
      </c>
      <c r="G5" s="6" t="n">
        <v>0.9</v>
      </c>
      <c r="H5" s="55" t="n">
        <f aca="false">(C5-D5)/E5</f>
        <v>0.648</v>
      </c>
      <c r="I5" s="55" t="n">
        <v>0</v>
      </c>
      <c r="J5" s="55" t="n">
        <v>0</v>
      </c>
      <c r="K5" s="56" t="n">
        <f aca="false" t="array" ref="K5:K5">IFERROR(OR(ABS(I5)&gt;=4, ABS(J5)&gt;=4),FALSE())</f>
        <v>0</v>
      </c>
      <c r="L5" s="5" t="n">
        <v>0</v>
      </c>
      <c r="M5" s="7" t="n">
        <f aca="false">IF(P5="y","",C5)</f>
        <v>0.8824</v>
      </c>
      <c r="N5" s="5" t="n">
        <v>1</v>
      </c>
      <c r="O5" s="5" t="str">
        <f aca="false">IF(C5&gt;=G5,"Yes","No")</f>
        <v>No</v>
      </c>
      <c r="P5" s="57"/>
      <c r="R5" s="58" t="s">
        <v>4</v>
      </c>
      <c r="S5" s="59" t="n">
        <v>0.9</v>
      </c>
    </row>
    <row r="6" customFormat="false" ht="15" hidden="false" customHeight="true" outlineLevel="0" collapsed="false">
      <c r="A6" s="60" t="n">
        <f aca="false">'Raw-Data'!A38</f>
        <v>46187</v>
      </c>
      <c r="B6" s="61" t="n">
        <f aca="false">'Raw-Data'!B38</f>
        <v>112</v>
      </c>
      <c r="C6" s="62" t="n">
        <f aca="false">'Raw-Data'!D38</f>
        <v>0.9783</v>
      </c>
      <c r="D6" s="62" t="n">
        <f aca="true">IF(NOT($K5),D5,AVERAGE(OFFSET($M5,-1*MAX($L5,N5),0):OFFSET($M5,0,0)))</f>
        <v>0.85</v>
      </c>
      <c r="E6" s="63" t="n">
        <f aca="true">IF(NOT($K5),E5,IFERROR(STDEV(OFFSET($M5,-1*MAX($L5,N5),0):OFFSET($M5,0,0)),E5))</f>
        <v>0.05</v>
      </c>
      <c r="F6" s="62" t="n">
        <f aca="false">MAX(0,D6-3*SQRT(D6*(1-D6)/B6))</f>
        <v>0.748779766280226</v>
      </c>
      <c r="G6" s="64" t="n">
        <v>0.9</v>
      </c>
      <c r="H6" s="65" t="n">
        <f aca="false">(C6-D6)/E6</f>
        <v>2.566</v>
      </c>
      <c r="I6" s="65" t="n">
        <f aca="false">IF(P6="y",I5,IF(K5,0,MAX(0,I5+H6-0.5)))</f>
        <v>2.066</v>
      </c>
      <c r="J6" s="65" t="n">
        <f aca="false">IF(P6="y",J5,IF(K5,0,MAX(0,J5-H6+0.5)))</f>
        <v>0</v>
      </c>
      <c r="K6" s="61" t="n">
        <f aca="false" t="array" ref="K6:K6">IFERROR(OR(ABS(I6)&gt;=4, ABS(J6)&gt;=4),FALSE())</f>
        <v>0</v>
      </c>
      <c r="L6" s="61" t="n">
        <f aca="false">IF(K5,0,L5+1)</f>
        <v>1</v>
      </c>
      <c r="M6" s="62" t="n">
        <f aca="false">IF(P6="y","",C6)</f>
        <v>0.9783</v>
      </c>
      <c r="N6" s="61" t="n">
        <f aca="false">MIN(5,N5+1)</f>
        <v>2</v>
      </c>
      <c r="O6" s="66" t="str">
        <f aca="false">IF(C6&gt;=G6,"Yes","No")</f>
        <v>Yes</v>
      </c>
      <c r="P6" s="57"/>
      <c r="R6" s="58" t="s">
        <v>46</v>
      </c>
      <c r="S6" s="67" t="n">
        <v>37</v>
      </c>
    </row>
    <row r="7" customFormat="false" ht="15" hidden="false" customHeight="true" outlineLevel="0" collapsed="false">
      <c r="A7" s="53" t="n">
        <f aca="false">'Raw-Data'!A37</f>
        <v>46188</v>
      </c>
      <c r="B7" s="5" t="n">
        <f aca="false">'Raw-Data'!B37</f>
        <v>101</v>
      </c>
      <c r="C7" s="7" t="n">
        <f aca="false">'Raw-Data'!D37</f>
        <v>0.44</v>
      </c>
      <c r="D7" s="7" t="n">
        <f aca="true">IF(NOT($K6),D6,AVERAGE(OFFSET($M6,-1*MAX($L6,N6),0):OFFSET($M6,0,0)))</f>
        <v>0.85</v>
      </c>
      <c r="E7" s="54" t="n">
        <f aca="true">IF(NOT($K6),E6,IFERROR(STDEV(OFFSET($M6,-1*MAX($L6,N6),0):OFFSET($M6,0,0)),E6))</f>
        <v>0.05</v>
      </c>
      <c r="F7" s="7" t="n">
        <f aca="false">MAX(0,D7-3*SQRT(D7*(1-D7)/B7))</f>
        <v>0.743410196835655</v>
      </c>
      <c r="G7" s="6" t="n">
        <v>0.9</v>
      </c>
      <c r="H7" s="55" t="n">
        <f aca="false">(C7-D7)/E7</f>
        <v>-8.2</v>
      </c>
      <c r="I7" s="55" t="n">
        <f aca="false">IF(P7="y",I6,IF(K6,0,MAX(0,I6+H7-0.5)))</f>
        <v>0</v>
      </c>
      <c r="J7" s="55" t="n">
        <f aca="false">IF(P7="y",J6,IF(K6,0,MAX(0,J6-H7+0.5)))</f>
        <v>8.7</v>
      </c>
      <c r="K7" s="56" t="n">
        <f aca="false" t="array" ref="K7:K7">IFERROR(OR(ABS(I7)&gt;=4, ABS(J7)&gt;=4),FALSE())</f>
        <v>1</v>
      </c>
      <c r="L7" s="5" t="n">
        <f aca="false">IF(K6,0,L6+1)</f>
        <v>2</v>
      </c>
      <c r="M7" s="7" t="n">
        <f aca="false">IF(P7="y","",C7)</f>
        <v>0.44</v>
      </c>
      <c r="N7" s="5" t="n">
        <f aca="false">MIN(5,N6+1)</f>
        <v>3</v>
      </c>
      <c r="O7" s="5" t="str">
        <f aca="false">IF(C7&gt;=G7,"Yes","No")</f>
        <v>No</v>
      </c>
      <c r="P7" s="57"/>
      <c r="R7" s="58" t="s">
        <v>47</v>
      </c>
      <c r="S7" s="67" t="n">
        <f aca="false">COUNTIF(K5:K41,TRUE())</f>
        <v>5</v>
      </c>
    </row>
    <row r="8" customFormat="false" ht="15" hidden="false" customHeight="true" outlineLevel="0" collapsed="false">
      <c r="A8" s="60" t="n">
        <f aca="false">'Raw-Data'!A36</f>
        <v>46189</v>
      </c>
      <c r="B8" s="61" t="n">
        <f aca="false">'Raw-Data'!B36</f>
        <v>114</v>
      </c>
      <c r="C8" s="62" t="n">
        <f aca="false">'Raw-Data'!D36</f>
        <v>0.8852</v>
      </c>
      <c r="D8" s="62" t="n">
        <f aca="true">IF(NOT($K7),D7,AVERAGE(OFFSET($M7,-1*MAX($L7,N7),0):OFFSET($M7,0,0)))</f>
        <v>0.7669</v>
      </c>
      <c r="E8" s="63" t="n">
        <f aca="true">IF(NOT($K7),E7,IFERROR(STDEV(OFFSET($M7,-1*MAX($L7,N7),0):OFFSET($M7,0,0)),E7))</f>
        <v>0.287135699626501</v>
      </c>
      <c r="F8" s="62" t="n">
        <f aca="false">MAX(0,D8-3*SQRT(D8*(1-D8)/B8))</f>
        <v>0.648101943795806</v>
      </c>
      <c r="G8" s="64" t="n">
        <v>0.9</v>
      </c>
      <c r="H8" s="65" t="n">
        <f aca="false">(C8-D8)/E8</f>
        <v>0.412000319548847</v>
      </c>
      <c r="I8" s="65" t="n">
        <f aca="false">IF(P8="y",I7,IF(K7,0,MAX(0,I7+H8-0.5)))</f>
        <v>0</v>
      </c>
      <c r="J8" s="65" t="n">
        <f aca="false">IF(P8="y",J7,IF(K7,0,MAX(0,J7-H8+0.5)))</f>
        <v>0</v>
      </c>
      <c r="K8" s="61" t="n">
        <f aca="false" t="array" ref="K8:K8">IFERROR(OR(ABS(I8)&gt;=4, ABS(J8)&gt;=4),FALSE())</f>
        <v>0</v>
      </c>
      <c r="L8" s="61" t="n">
        <f aca="false">IF(K7,0,L7+1)</f>
        <v>0</v>
      </c>
      <c r="M8" s="62" t="n">
        <f aca="false">IF(P8="y","",C8)</f>
        <v>0.8852</v>
      </c>
      <c r="N8" s="61" t="n">
        <f aca="false">MIN(5,N7+1)</f>
        <v>4</v>
      </c>
      <c r="O8" s="66" t="str">
        <f aca="false">IF(C8&gt;=G8,"Yes","No")</f>
        <v>No</v>
      </c>
      <c r="P8" s="57"/>
      <c r="R8" s="58" t="s">
        <v>48</v>
      </c>
      <c r="S8" s="68" t="str">
        <f aca="false">COUNTIF(O5:O41,"Yes")&amp;"/"&amp;37</f>
        <v>4/37</v>
      </c>
    </row>
    <row r="9" customFormat="false" ht="15" hidden="false" customHeight="true" outlineLevel="0" collapsed="false">
      <c r="A9" s="53" t="n">
        <f aca="false">'Raw-Data'!A35</f>
        <v>46190</v>
      </c>
      <c r="B9" s="5" t="n">
        <f aca="false">'Raw-Data'!B35</f>
        <v>104</v>
      </c>
      <c r="C9" s="7" t="n">
        <f aca="false">'Raw-Data'!D35</f>
        <v>0.5584</v>
      </c>
      <c r="D9" s="7" t="n">
        <f aca="true">IF(NOT($K8),D8,AVERAGE(OFFSET($M8,-1*MAX($L8,N8),0):OFFSET($M8,0,0)))</f>
        <v>0.7669</v>
      </c>
      <c r="E9" s="54" t="n">
        <f aca="true">IF(NOT($K8),E8,IFERROR(STDEV(OFFSET($M8,-1*MAX($L8,N8),0):OFFSET($M8,0,0)),E8))</f>
        <v>0.287135699626501</v>
      </c>
      <c r="F9" s="7" t="n">
        <f aca="false">MAX(0,D9-3*SQRT(D9*(1-D9)/B9))</f>
        <v>0.642521564214445</v>
      </c>
      <c r="G9" s="6" t="n">
        <v>0.9</v>
      </c>
      <c r="H9" s="55" t="n">
        <f aca="false">(C9-D9)/E9</f>
        <v>-0.726137503177807</v>
      </c>
      <c r="I9" s="55" t="n">
        <f aca="false">IF(P9="y",I8,IF(K8,0,MAX(0,I8+H9-0.5)))</f>
        <v>0</v>
      </c>
      <c r="J9" s="55" t="n">
        <f aca="false">IF(P9="y",J8,IF(K8,0,MAX(0,J8-H9+0.5)))</f>
        <v>1.22613750317781</v>
      </c>
      <c r="K9" s="56" t="n">
        <f aca="false" t="array" ref="K9:K9">IFERROR(OR(ABS(I9)&gt;=4, ABS(J9)&gt;=4),FALSE())</f>
        <v>0</v>
      </c>
      <c r="L9" s="5" t="n">
        <f aca="false">IF(K8,0,L8+1)</f>
        <v>1</v>
      </c>
      <c r="M9" s="7" t="n">
        <f aca="false">IF(P9="y","",C9)</f>
        <v>0.5584</v>
      </c>
      <c r="N9" s="5" t="n">
        <f aca="false">MIN(5,N8+1)</f>
        <v>5</v>
      </c>
      <c r="O9" s="5" t="str">
        <f aca="false">IF(C9&gt;=G9,"Yes","No")</f>
        <v>No</v>
      </c>
      <c r="P9" s="57"/>
      <c r="R9" s="58" t="s">
        <v>49</v>
      </c>
      <c r="S9" s="69" t="n">
        <f aca="false">AVERAGE(C5:C41)</f>
        <v>0.731080466537643</v>
      </c>
    </row>
    <row r="10" customFormat="false" ht="15" hidden="false" customHeight="true" outlineLevel="0" collapsed="false">
      <c r="A10" s="60" t="n">
        <f aca="false">'Raw-Data'!A34</f>
        <v>46191</v>
      </c>
      <c r="B10" s="61" t="n">
        <f aca="false">'Raw-Data'!B34</f>
        <v>139</v>
      </c>
      <c r="C10" s="62" t="n">
        <f aca="false">'Raw-Data'!D34</f>
        <v>0.691762589928058</v>
      </c>
      <c r="D10" s="62" t="n">
        <f aca="true">IF(NOT($K9),D9,AVERAGE(OFFSET($M9,-1*MAX($L9,N9),0):OFFSET($M9,0,0)))</f>
        <v>0.7669</v>
      </c>
      <c r="E10" s="63" t="n">
        <f aca="true">IF(NOT($K9),E9,IFERROR(STDEV(OFFSET($M9,-1*MAX($L9,N9),0):OFFSET($M9,0,0)),E9))</f>
        <v>0.287135699626501</v>
      </c>
      <c r="F10" s="62" t="n">
        <f aca="false">MAX(0,D10-3*SQRT(D10*(1-D10)/B10))</f>
        <v>0.659314346988955</v>
      </c>
      <c r="G10" s="64" t="n">
        <v>0.9</v>
      </c>
      <c r="H10" s="65" t="n">
        <f aca="false">(C10-D10)/E10</f>
        <v>-0.261679095179316</v>
      </c>
      <c r="I10" s="65" t="n">
        <f aca="false">IF(P10="y",I9,IF(K9,0,MAX(0,I9+H10-0.5)))</f>
        <v>0</v>
      </c>
      <c r="J10" s="65" t="n">
        <f aca="false">IF(P10="y",J9,IF(K9,0,MAX(0,J9-H10+0.5)))</f>
        <v>1.98781659835712</v>
      </c>
      <c r="K10" s="61" t="n">
        <f aca="false" t="array" ref="K10:K10">IFERROR(OR(ABS(I10)&gt;=4, ABS(J10)&gt;=4),FALSE())</f>
        <v>0</v>
      </c>
      <c r="L10" s="61" t="n">
        <f aca="false">IF(K9,0,L9+1)</f>
        <v>2</v>
      </c>
      <c r="M10" s="62" t="n">
        <f aca="false">IF(P10="y","",C10)</f>
        <v>0.691762589928058</v>
      </c>
      <c r="N10" s="61" t="n">
        <f aca="false">MIN(5,N9+1)</f>
        <v>5</v>
      </c>
      <c r="O10" s="66" t="str">
        <f aca="false">IF(C10&gt;=G10,"Yes","No")</f>
        <v>No</v>
      </c>
      <c r="P10" s="57"/>
      <c r="R10" s="58" t="s">
        <v>50</v>
      </c>
      <c r="S10" s="69" t="n">
        <f aca="false">AVERAGE(C5:C41)-G5</f>
        <v>-0.168919533462357</v>
      </c>
    </row>
    <row r="11" customFormat="false" ht="15" hidden="false" customHeight="true" outlineLevel="0" collapsed="false">
      <c r="A11" s="53" t="n">
        <f aca="false">'Raw-Data'!A33</f>
        <v>46192</v>
      </c>
      <c r="B11" s="5" t="n">
        <f aca="false">'Raw-Data'!B33</f>
        <v>144</v>
      </c>
      <c r="C11" s="7" t="n">
        <f aca="false">'Raw-Data'!D33</f>
        <v>0.718390277777778</v>
      </c>
      <c r="D11" s="7" t="n">
        <f aca="true">IF(NOT($K10),D10,AVERAGE(OFFSET($M10,-1*MAX($L10,N10),0):OFFSET($M10,0,0)))</f>
        <v>0.7669</v>
      </c>
      <c r="E11" s="54" t="n">
        <f aca="true">IF(NOT($K10),E10,IFERROR(STDEV(OFFSET($M10,-1*MAX($L10,N10),0):OFFSET($M10,0,0)),E10))</f>
        <v>0.287135699626501</v>
      </c>
      <c r="F11" s="7" t="n">
        <f aca="false">MAX(0,D11-3*SQRT(D11*(1-D11)/B11))</f>
        <v>0.661198654809884</v>
      </c>
      <c r="G11" s="6" t="n">
        <v>0.9</v>
      </c>
      <c r="H11" s="55" t="n">
        <f aca="false">(C11-D11)/E11</f>
        <v>-0.168943542322751</v>
      </c>
      <c r="I11" s="55" t="n">
        <f aca="false">IF(P11="y",I10,IF(K10,0,MAX(0,I10+H11-0.5)))</f>
        <v>0</v>
      </c>
      <c r="J11" s="55" t="n">
        <f aca="false">IF(P11="y",J10,IF(K10,0,MAX(0,J10-H11+0.5)))</f>
        <v>2.65676014067987</v>
      </c>
      <c r="K11" s="56" t="n">
        <f aca="false" t="array" ref="K11:K11">IFERROR(OR(ABS(I11)&gt;=4, ABS(J11)&gt;=4),FALSE())</f>
        <v>0</v>
      </c>
      <c r="L11" s="5" t="n">
        <f aca="false">IF(K10,0,L10+1)</f>
        <v>3</v>
      </c>
      <c r="M11" s="7" t="n">
        <f aca="false">IF(P11="y","",C11)</f>
        <v>0.718390277777778</v>
      </c>
      <c r="N11" s="5" t="n">
        <f aca="false">MIN(5,N10+1)</f>
        <v>5</v>
      </c>
      <c r="O11" s="5" t="str">
        <f aca="false">IF(C11&gt;=G11,"Yes","No")</f>
        <v>No</v>
      </c>
      <c r="P11" s="57"/>
      <c r="R11" s="58" t="s">
        <v>51</v>
      </c>
      <c r="S11" s="69" t="n">
        <f aca="false">D41</f>
        <v>0.702323428036325</v>
      </c>
    </row>
    <row r="12" customFormat="false" ht="15" hidden="false" customHeight="true" outlineLevel="0" collapsed="false">
      <c r="A12" s="60" t="n">
        <f aca="false">'Raw-Data'!A32</f>
        <v>46193</v>
      </c>
      <c r="B12" s="61" t="n">
        <f aca="false">'Raw-Data'!B32</f>
        <v>184</v>
      </c>
      <c r="C12" s="62" t="n">
        <f aca="false">'Raw-Data'!D32</f>
        <v>0.635951086956522</v>
      </c>
      <c r="D12" s="62" t="n">
        <f aca="true">IF(NOT($K11),D11,AVERAGE(OFFSET($M11,-1*MAX($L11,N11),0):OFFSET($M11,0,0)))</f>
        <v>0.7669</v>
      </c>
      <c r="E12" s="63" t="n">
        <f aca="true">IF(NOT($K11),E11,IFERROR(STDEV(OFFSET($M11,-1*MAX($L11,N11),0):OFFSET($M11,0,0)),E11))</f>
        <v>0.287135699626501</v>
      </c>
      <c r="F12" s="62" t="n">
        <f aca="false">MAX(0,D12-3*SQRT(D12*(1-D12)/B12))</f>
        <v>0.673391121381792</v>
      </c>
      <c r="G12" s="64" t="n">
        <v>0.9</v>
      </c>
      <c r="H12" s="65" t="n">
        <f aca="false">(C12-D12)/E12</f>
        <v>-0.456052358567094</v>
      </c>
      <c r="I12" s="65" t="n">
        <f aca="false">IF(P12="y",I11,IF(K11,0,MAX(0,I11+H12-0.5)))</f>
        <v>0</v>
      </c>
      <c r="J12" s="65" t="n">
        <f aca="false">IF(P12="y",J11,IF(K11,0,MAX(0,J11-H12+0.5)))</f>
        <v>3.61281249924697</v>
      </c>
      <c r="K12" s="61" t="n">
        <f aca="false" t="array" ref="K12:K12">IFERROR(OR(ABS(I12)&gt;=4, ABS(J12)&gt;=4),FALSE())</f>
        <v>0</v>
      </c>
      <c r="L12" s="61" t="n">
        <f aca="false">IF(K11,0,L11+1)</f>
        <v>4</v>
      </c>
      <c r="M12" s="62" t="n">
        <f aca="false">IF(P12="y","",C12)</f>
        <v>0.635951086956522</v>
      </c>
      <c r="N12" s="61" t="n">
        <f aca="false">MIN(5,N11+1)</f>
        <v>5</v>
      </c>
      <c r="O12" s="66" t="str">
        <f aca="false">IF(C12&gt;=G12,"Yes","No")</f>
        <v>No</v>
      </c>
      <c r="P12" s="57"/>
      <c r="R12" s="58" t="s">
        <v>52</v>
      </c>
      <c r="S12" s="69" t="n">
        <f aca="false">F41</f>
        <v>0.60508551656048</v>
      </c>
    </row>
    <row r="13" customFormat="false" ht="15" hidden="false" customHeight="true" outlineLevel="0" collapsed="false">
      <c r="A13" s="53" t="n">
        <f aca="false">'Raw-Data'!A31</f>
        <v>46194</v>
      </c>
      <c r="B13" s="5" t="n">
        <f aca="false">'Raw-Data'!B31</f>
        <v>168</v>
      </c>
      <c r="C13" s="7" t="n">
        <f aca="false">'Raw-Data'!D31</f>
        <v>0.664975</v>
      </c>
      <c r="D13" s="7" t="n">
        <f aca="true">IF(NOT($K12),D12,AVERAGE(OFFSET($M12,-1*MAX($L12,N12),0):OFFSET($M12,0,0)))</f>
        <v>0.7669</v>
      </c>
      <c r="E13" s="54" t="n">
        <f aca="true">IF(NOT($K12),E12,IFERROR(STDEV(OFFSET($M12,-1*MAX($L12,N12),0):OFFSET($M12,0,0)),E12))</f>
        <v>0.287135699626501</v>
      </c>
      <c r="F13" s="7" t="n">
        <f aca="false">MAX(0,D13-3*SQRT(D13*(1-D13)/B13))</f>
        <v>0.669039570049994</v>
      </c>
      <c r="G13" s="6" t="n">
        <v>0.9</v>
      </c>
      <c r="H13" s="55" t="n">
        <f aca="false">(C13-D13)/E13</f>
        <v>-0.354971534826849</v>
      </c>
      <c r="I13" s="55" t="n">
        <f aca="false">IF(P13="y",I12,IF(K12,0,MAX(0,I12+H13-0.5)))</f>
        <v>0</v>
      </c>
      <c r="J13" s="55" t="n">
        <f aca="false">IF(P13="y",J12,IF(K12,0,MAX(0,J12-H13+0.5)))</f>
        <v>4.46778403407382</v>
      </c>
      <c r="K13" s="56" t="n">
        <f aca="false" t="array" ref="K13:K13">IFERROR(OR(ABS(I13)&gt;=4, ABS(J13)&gt;=4),FALSE())</f>
        <v>1</v>
      </c>
      <c r="L13" s="5" t="n">
        <f aca="false">IF(K12,0,L12+1)</f>
        <v>5</v>
      </c>
      <c r="M13" s="7" t="n">
        <f aca="false">IF(P13="y","",C13)</f>
        <v>0.664975</v>
      </c>
      <c r="N13" s="5" t="n">
        <f aca="false">MIN(5,N12+1)</f>
        <v>5</v>
      </c>
      <c r="O13" s="5" t="str">
        <f aca="false">IF(C13&gt;=G13,"Yes","No")</f>
        <v>No</v>
      </c>
      <c r="P13" s="57"/>
    </row>
    <row r="14" customFormat="false" ht="15" hidden="false" customHeight="true" outlineLevel="0" collapsed="false">
      <c r="A14" s="60" t="n">
        <f aca="false">'Raw-Data'!A30</f>
        <v>46195</v>
      </c>
      <c r="B14" s="61" t="n">
        <f aca="false">'Raw-Data'!B30</f>
        <v>139</v>
      </c>
      <c r="C14" s="62" t="n">
        <f aca="false">'Raw-Data'!D30</f>
        <v>0.78705035971223</v>
      </c>
      <c r="D14" s="62" t="n">
        <f aca="true">IF(NOT($K13),D13,AVERAGE(OFFSET($M13,-1*MAX($L13,N13),0):OFFSET($M13,0,0)))</f>
        <v>0.692446492443726</v>
      </c>
      <c r="E14" s="63" t="n">
        <f aca="true">IF(NOT($K13),E13,IFERROR(STDEV(OFFSET($M13,-1*MAX($L13,N13),0):OFFSET($M13,0,0)),E13))</f>
        <v>0.109309046533278</v>
      </c>
      <c r="F14" s="62" t="n">
        <f aca="false">MAX(0,D14-3*SQRT(D14*(1-D14)/B14))</f>
        <v>0.575019670660079</v>
      </c>
      <c r="G14" s="64" t="n">
        <v>0.9</v>
      </c>
      <c r="H14" s="65" t="n">
        <f aca="false">(C14-D14)/E14</f>
        <v>0.865471525631711</v>
      </c>
      <c r="I14" s="65" t="n">
        <f aca="false">IF(P14="y",I13,IF(K13,0,MAX(0,I13+H14-0.5)))</f>
        <v>0</v>
      </c>
      <c r="J14" s="65" t="n">
        <f aca="false">IF(P14="y",J13,IF(K13,0,MAX(0,J13-H14+0.5)))</f>
        <v>0</v>
      </c>
      <c r="K14" s="61" t="n">
        <f aca="false" t="array" ref="K14:K14">IFERROR(OR(ABS(I14)&gt;=4, ABS(J14)&gt;=4),FALSE())</f>
        <v>0</v>
      </c>
      <c r="L14" s="61" t="n">
        <f aca="false">IF(K13,0,L13+1)</f>
        <v>0</v>
      </c>
      <c r="M14" s="62" t="n">
        <f aca="false">IF(P14="y","",C14)</f>
        <v>0.78705035971223</v>
      </c>
      <c r="N14" s="61" t="n">
        <f aca="false">MIN(5,N13+1)</f>
        <v>5</v>
      </c>
      <c r="O14" s="66" t="str">
        <f aca="false">IF(C14&gt;=G14,"Yes","No")</f>
        <v>No</v>
      </c>
      <c r="P14" s="57"/>
    </row>
    <row r="15" customFormat="false" ht="15" hidden="false" customHeight="true" outlineLevel="0" collapsed="false">
      <c r="A15" s="53" t="n">
        <f aca="false">'Raw-Data'!A29</f>
        <v>46196</v>
      </c>
      <c r="B15" s="5" t="n">
        <f aca="false">'Raw-Data'!B29</f>
        <v>173</v>
      </c>
      <c r="C15" s="7" t="n">
        <f aca="false">'Raw-Data'!D29</f>
        <v>0.47286936416185</v>
      </c>
      <c r="D15" s="7" t="n">
        <f aca="true">IF(NOT($K14),D14,AVERAGE(OFFSET($M14,-1*MAX($L14,N14),0):OFFSET($M14,0,0)))</f>
        <v>0.692446492443726</v>
      </c>
      <c r="E15" s="54" t="n">
        <f aca="true">IF(NOT($K14),E14,IFERROR(STDEV(OFFSET($M14,-1*MAX($L14,N14),0):OFFSET($M14,0,0)),E14))</f>
        <v>0.109309046533278</v>
      </c>
      <c r="F15" s="7" t="n">
        <f aca="false">MAX(0,D15-3*SQRT(D15*(1-D15)/B15))</f>
        <v>0.587189330675252</v>
      </c>
      <c r="G15" s="6" t="n">
        <v>0.9</v>
      </c>
      <c r="H15" s="55" t="n">
        <f aca="false">(C15-D15)/E15</f>
        <v>-2.00877361248438</v>
      </c>
      <c r="I15" s="55" t="n">
        <f aca="false">IF(P15="y",I14,IF(K14,0,MAX(0,I14+H15-0.5)))</f>
        <v>0</v>
      </c>
      <c r="J15" s="55" t="n">
        <f aca="false">IF(P15="y",J14,IF(K14,0,MAX(0,J14-H15+0.5)))</f>
        <v>2.50877361248438</v>
      </c>
      <c r="K15" s="56" t="n">
        <f aca="false" t="array" ref="K15:K15">IFERROR(OR(ABS(I15)&gt;=4, ABS(J15)&gt;=4),FALSE())</f>
        <v>0</v>
      </c>
      <c r="L15" s="5" t="n">
        <f aca="false">IF(K14,0,L14+1)</f>
        <v>1</v>
      </c>
      <c r="M15" s="7" t="n">
        <f aca="false">IF(P15="y","",C15)</f>
        <v>0.47286936416185</v>
      </c>
      <c r="N15" s="5" t="n">
        <f aca="false">MIN(5,N14+1)</f>
        <v>5</v>
      </c>
      <c r="O15" s="5" t="str">
        <f aca="false">IF(C15&gt;=G15,"Yes","No")</f>
        <v>No</v>
      </c>
      <c r="P15" s="57"/>
    </row>
    <row r="16" customFormat="false" ht="15" hidden="false" customHeight="true" outlineLevel="0" collapsed="false">
      <c r="A16" s="60" t="n">
        <f aca="false">'Raw-Data'!A28</f>
        <v>46197</v>
      </c>
      <c r="B16" s="61" t="n">
        <f aca="false">'Raw-Data'!B28</f>
        <v>149</v>
      </c>
      <c r="C16" s="62" t="n">
        <f aca="false">'Raw-Data'!D28</f>
        <v>0.558308724832215</v>
      </c>
      <c r="D16" s="62" t="n">
        <f aca="true">IF(NOT($K15),D15,AVERAGE(OFFSET($M15,-1*MAX($L15,N15),0):OFFSET($M15,0,0)))</f>
        <v>0.692446492443726</v>
      </c>
      <c r="E16" s="63" t="n">
        <f aca="true">IF(NOT($K15),E15,IFERROR(STDEV(OFFSET($M15,-1*MAX($L15,N15),0):OFFSET($M15,0,0)),E15))</f>
        <v>0.109309046533278</v>
      </c>
      <c r="F16" s="62" t="n">
        <f aca="false">MAX(0,D16-3*SQRT(D16*(1-D16)/B16))</f>
        <v>0.579028600080334</v>
      </c>
      <c r="G16" s="64" t="n">
        <v>0.9</v>
      </c>
      <c r="H16" s="65" t="n">
        <f aca="false">(C16-D16)/E16</f>
        <v>-1.22714241744551</v>
      </c>
      <c r="I16" s="65" t="n">
        <f aca="false">IF(P16="y",I15,IF(K15,0,MAX(0,I15+H16-0.5)))</f>
        <v>0</v>
      </c>
      <c r="J16" s="65" t="n">
        <f aca="false">IF(P16="y",J15,IF(K15,0,MAX(0,J15-H16+0.5)))</f>
        <v>4.23591602992989</v>
      </c>
      <c r="K16" s="61" t="n">
        <f aca="false" t="array" ref="K16:K16">IFERROR(OR(ABS(I16)&gt;=4, ABS(J16)&gt;=4),FALSE())</f>
        <v>1</v>
      </c>
      <c r="L16" s="61" t="n">
        <f aca="false">IF(K15,0,L15+1)</f>
        <v>2</v>
      </c>
      <c r="M16" s="62" t="n">
        <f aca="false">IF(P16="y","",C16)</f>
        <v>0.558308724832215</v>
      </c>
      <c r="N16" s="61" t="n">
        <f aca="false">MIN(5,N15+1)</f>
        <v>5</v>
      </c>
      <c r="O16" s="66" t="str">
        <f aca="false">IF(C16&gt;=G16,"Yes","No")</f>
        <v>No</v>
      </c>
      <c r="P16" s="57"/>
    </row>
    <row r="17" customFormat="false" ht="15" hidden="false" customHeight="true" outlineLevel="0" collapsed="false">
      <c r="A17" s="53" t="n">
        <f aca="false">'Raw-Data'!A27</f>
        <v>46198</v>
      </c>
      <c r="B17" s="5" t="n">
        <f aca="false">'Raw-Data'!B27</f>
        <v>152</v>
      </c>
      <c r="C17" s="7" t="n">
        <f aca="false">'Raw-Data'!D27</f>
        <v>0.703042105263158</v>
      </c>
      <c r="D17" s="7" t="n">
        <f aca="true">IF(NOT($K16),D16,AVERAGE(OFFSET($M16,-1*MAX($L16,N16),0):OFFSET($M16,0,0)))</f>
        <v>0.639590802240099</v>
      </c>
      <c r="E17" s="54" t="n">
        <f aca="true">IF(NOT($K16),E16,IFERROR(STDEV(OFFSET($M16,-1*MAX($L16,N16),0):OFFSET($M16,0,0)),E16))</f>
        <v>0.112262279934776</v>
      </c>
      <c r="F17" s="7" t="n">
        <f aca="false">MAX(0,D17-3*SQRT(D17*(1-D17)/B17))</f>
        <v>0.522762383535976</v>
      </c>
      <c r="G17" s="6" t="n">
        <v>0.9</v>
      </c>
      <c r="H17" s="55" t="n">
        <f aca="false">(C17-D17)/E17</f>
        <v>0.565205900503035</v>
      </c>
      <c r="I17" s="55" t="n">
        <f aca="false">IF(P17="y",I16,IF(K16,0,MAX(0,I16+H17-0.5)))</f>
        <v>0</v>
      </c>
      <c r="J17" s="55" t="n">
        <f aca="false">IF(P17="y",J16,IF(K16,0,MAX(0,J16-H17+0.5)))</f>
        <v>0</v>
      </c>
      <c r="K17" s="56" t="n">
        <f aca="false" t="array" ref="K17:K17">IFERROR(OR(ABS(I17)&gt;=4, ABS(J17)&gt;=4),FALSE())</f>
        <v>0</v>
      </c>
      <c r="L17" s="5" t="n">
        <f aca="false">IF(K16,0,L16+1)</f>
        <v>0</v>
      </c>
      <c r="M17" s="7" t="n">
        <f aca="false">IF(P17="y","",C17)</f>
        <v>0.703042105263158</v>
      </c>
      <c r="N17" s="5" t="n">
        <f aca="false">MIN(5,N16+1)</f>
        <v>5</v>
      </c>
      <c r="O17" s="5" t="str">
        <f aca="false">IF(C17&gt;=G17,"Yes","No")</f>
        <v>No</v>
      </c>
      <c r="P17" s="57"/>
    </row>
    <row r="18" customFormat="false" ht="15" hidden="false" customHeight="true" outlineLevel="0" collapsed="false">
      <c r="A18" s="60" t="n">
        <f aca="false">'Raw-Data'!A26</f>
        <v>46199</v>
      </c>
      <c r="B18" s="61" t="n">
        <f aca="false">'Raw-Data'!B26</f>
        <v>176</v>
      </c>
      <c r="C18" s="62" t="n">
        <f aca="false">'Raw-Data'!D26</f>
        <v>0.629727272727273</v>
      </c>
      <c r="D18" s="62" t="n">
        <f aca="true">IF(NOT($K17),D17,AVERAGE(OFFSET($M17,-1*MAX($L17,N17),0):OFFSET($M17,0,0)))</f>
        <v>0.639590802240099</v>
      </c>
      <c r="E18" s="63" t="n">
        <f aca="true">IF(NOT($K17),E17,IFERROR(STDEV(OFFSET($M17,-1*MAX($L17,N17),0):OFFSET($M17,0,0)),E17))</f>
        <v>0.112262279934776</v>
      </c>
      <c r="F18" s="62" t="n">
        <f aca="false">MAX(0,D18-3*SQRT(D18*(1-D18)/B18))</f>
        <v>0.531019772092422</v>
      </c>
      <c r="G18" s="64" t="n">
        <v>0.9</v>
      </c>
      <c r="H18" s="65" t="n">
        <f aca="false">(C18-D18)/E18</f>
        <v>-0.0878614750970396</v>
      </c>
      <c r="I18" s="65" t="n">
        <f aca="false">IF(P18="y",I17,IF(K17,0,MAX(0,I17+H18-0.5)))</f>
        <v>0</v>
      </c>
      <c r="J18" s="65" t="n">
        <f aca="false">IF(P18="y",J17,IF(K17,0,MAX(0,J17-H18+0.5)))</f>
        <v>0.58786147509704</v>
      </c>
      <c r="K18" s="61" t="n">
        <f aca="false" t="array" ref="K18:K18">IFERROR(OR(ABS(I18)&gt;=4, ABS(J18)&gt;=4),FALSE())</f>
        <v>0</v>
      </c>
      <c r="L18" s="61" t="n">
        <f aca="false">IF(K17,0,L17+1)</f>
        <v>1</v>
      </c>
      <c r="M18" s="62" t="n">
        <f aca="false">IF(P18="y","",C18)</f>
        <v>0.629727272727273</v>
      </c>
      <c r="N18" s="61" t="n">
        <f aca="false">MIN(5,N17+1)</f>
        <v>5</v>
      </c>
      <c r="O18" s="66" t="str">
        <f aca="false">IF(C18&gt;=G18,"Yes","No")</f>
        <v>No</v>
      </c>
      <c r="P18" s="57"/>
    </row>
    <row r="19" customFormat="false" ht="15" hidden="false" customHeight="true" outlineLevel="0" collapsed="false">
      <c r="A19" s="53" t="n">
        <f aca="false">'Raw-Data'!A25</f>
        <v>46200</v>
      </c>
      <c r="B19" s="5" t="n">
        <f aca="false">'Raw-Data'!B25</f>
        <v>169</v>
      </c>
      <c r="C19" s="7" t="n">
        <f aca="false">'Raw-Data'!D25</f>
        <v>0.872721893491124</v>
      </c>
      <c r="D19" s="7" t="n">
        <f aca="true">IF(NOT($K18),D18,AVERAGE(OFFSET($M18,-1*MAX($L18,N18),0):OFFSET($M18,0,0)))</f>
        <v>0.639590802240099</v>
      </c>
      <c r="E19" s="54" t="n">
        <f aca="true">IF(NOT($K18),E18,IFERROR(STDEV(OFFSET($M18,-1*MAX($L18,N18),0):OFFSET($M18,0,0)),E18))</f>
        <v>0.112262279934776</v>
      </c>
      <c r="F19" s="7" t="n">
        <f aca="false">MAX(0,D19-3*SQRT(D19*(1-D19)/B19))</f>
        <v>0.528794072977881</v>
      </c>
      <c r="G19" s="6" t="n">
        <v>0.9</v>
      </c>
      <c r="H19" s="55" t="n">
        <f aca="false">(C19-D19)/E19</f>
        <v>2.0766644984092</v>
      </c>
      <c r="I19" s="55" t="n">
        <f aca="false">IF(P19="y",I18,IF(K18,0,MAX(0,I18+H19-0.5)))</f>
        <v>1.5766644984092</v>
      </c>
      <c r="J19" s="55" t="n">
        <f aca="false">IF(P19="y",J18,IF(K18,0,MAX(0,J18-H19+0.5)))</f>
        <v>0</v>
      </c>
      <c r="K19" s="56" t="n">
        <f aca="false" t="array" ref="K19:K19">IFERROR(OR(ABS(I19)&gt;=4, ABS(J19)&gt;=4),FALSE())</f>
        <v>0</v>
      </c>
      <c r="L19" s="5" t="n">
        <f aca="false">IF(K18,0,L18+1)</f>
        <v>2</v>
      </c>
      <c r="M19" s="7" t="n">
        <f aca="false">IF(P19="y","",C19)</f>
        <v>0.872721893491124</v>
      </c>
      <c r="N19" s="5" t="n">
        <f aca="false">MIN(5,N18+1)</f>
        <v>5</v>
      </c>
      <c r="O19" s="5" t="str">
        <f aca="false">IF(C19&gt;=G19,"Yes","No")</f>
        <v>No</v>
      </c>
      <c r="P19" s="57"/>
    </row>
    <row r="20" customFormat="false" ht="15" hidden="false" customHeight="true" outlineLevel="0" collapsed="false">
      <c r="A20" s="60" t="n">
        <f aca="false">'Raw-Data'!A24</f>
        <v>46201</v>
      </c>
      <c r="B20" s="61" t="n">
        <f aca="false">'Raw-Data'!B24</f>
        <v>145</v>
      </c>
      <c r="C20" s="62" t="n">
        <f aca="false">'Raw-Data'!D24</f>
        <v>0.8666</v>
      </c>
      <c r="D20" s="62" t="n">
        <f aca="true">IF(NOT($K19),D19,AVERAGE(OFFSET($M19,-1*MAX($L19,N19),0):OFFSET($M19,0,0)))</f>
        <v>0.639590802240099</v>
      </c>
      <c r="E20" s="63" t="n">
        <f aca="true">IF(NOT($K19),E19,IFERROR(STDEV(OFFSET($M19,-1*MAX($L19,N19),0):OFFSET($M19,0,0)),E19))</f>
        <v>0.112262279934776</v>
      </c>
      <c r="F20" s="62" t="n">
        <f aca="false">MAX(0,D20-3*SQRT(D20*(1-D20)/B20))</f>
        <v>0.519975624118623</v>
      </c>
      <c r="G20" s="64" t="n">
        <v>0.9</v>
      </c>
      <c r="H20" s="65" t="n">
        <f aca="false">(C20-D20)/E20</f>
        <v>2.02213243746513</v>
      </c>
      <c r="I20" s="65" t="n">
        <f aca="false">IF(P20="y",I19,IF(K19,0,MAX(0,I19+H20-0.5)))</f>
        <v>3.09879693587433</v>
      </c>
      <c r="J20" s="65" t="n">
        <f aca="false">IF(P20="y",J19,IF(K19,0,MAX(0,J19-H20+0.5)))</f>
        <v>0</v>
      </c>
      <c r="K20" s="61" t="n">
        <f aca="false" t="array" ref="K20:K20">IFERROR(OR(ABS(I20)&gt;=4, ABS(J20)&gt;=4),FALSE())</f>
        <v>0</v>
      </c>
      <c r="L20" s="61" t="n">
        <f aca="false">IF(K19,0,L19+1)</f>
        <v>3</v>
      </c>
      <c r="M20" s="62" t="n">
        <f aca="false">IF(P20="y","",C20)</f>
        <v>0.8666</v>
      </c>
      <c r="N20" s="61" t="n">
        <f aca="false">MIN(5,N19+1)</f>
        <v>5</v>
      </c>
      <c r="O20" s="66" t="str">
        <f aca="false">IF(C20&gt;=G20,"Yes","No")</f>
        <v>No</v>
      </c>
      <c r="P20" s="57"/>
    </row>
    <row r="21" customFormat="false" ht="15" hidden="false" customHeight="true" outlineLevel="0" collapsed="false">
      <c r="A21" s="53" t="n">
        <f aca="false">'Raw-Data'!A23</f>
        <v>46202</v>
      </c>
      <c r="B21" s="5" t="n">
        <f aca="false">'Raw-Data'!B23</f>
        <v>143</v>
      </c>
      <c r="C21" s="7" t="n">
        <f aca="false">'Raw-Data'!D23</f>
        <v>0.717626573426573</v>
      </c>
      <c r="D21" s="7" t="n">
        <f aca="true">IF(NOT($K20),D20,AVERAGE(OFFSET($M20,-1*MAX($L20,N20),0):OFFSET($M20,0,0)))</f>
        <v>0.639590802240099</v>
      </c>
      <c r="E21" s="54" t="n">
        <f aca="true">IF(NOT($K20),E20,IFERROR(STDEV(OFFSET($M20,-1*MAX($L20,N20),0):OFFSET($M20,0,0)),E20))</f>
        <v>0.112262279934776</v>
      </c>
      <c r="F21" s="7" t="n">
        <f aca="false">MAX(0,D21-3*SQRT(D21*(1-D21)/B21))</f>
        <v>0.519142058785516</v>
      </c>
      <c r="G21" s="6" t="n">
        <v>0.9</v>
      </c>
      <c r="H21" s="55" t="n">
        <f aca="false">(C21-D21)/E21</f>
        <v>0.695120135024987</v>
      </c>
      <c r="I21" s="55" t="n">
        <f aca="false">IF(P21="y",I20,IF(K20,0,MAX(0,I20+H21-0.5)))</f>
        <v>3.29391707089932</v>
      </c>
      <c r="J21" s="55" t="n">
        <f aca="false">IF(P21="y",J20,IF(K20,0,MAX(0,J20-H21+0.5)))</f>
        <v>0</v>
      </c>
      <c r="K21" s="56" t="n">
        <f aca="false" t="array" ref="K21:K21">IFERROR(OR(ABS(I21)&gt;=4, ABS(J21)&gt;=4),FALSE())</f>
        <v>0</v>
      </c>
      <c r="L21" s="5" t="n">
        <f aca="false">IF(K20,0,L20+1)</f>
        <v>4</v>
      </c>
      <c r="M21" s="7" t="n">
        <f aca="false">IF(P21="y","",C21)</f>
        <v>0.717626573426573</v>
      </c>
      <c r="N21" s="5" t="n">
        <f aca="false">MIN(5,N20+1)</f>
        <v>5</v>
      </c>
      <c r="O21" s="5" t="str">
        <f aca="false">IF(C21&gt;=G21,"Yes","No")</f>
        <v>No</v>
      </c>
      <c r="P21" s="57"/>
    </row>
    <row r="22" customFormat="false" ht="15" hidden="false" customHeight="true" outlineLevel="0" collapsed="false">
      <c r="A22" s="60" t="n">
        <f aca="false">'Raw-Data'!A22</f>
        <v>46203</v>
      </c>
      <c r="B22" s="61" t="n">
        <f aca="false">'Raw-Data'!B22</f>
        <v>156</v>
      </c>
      <c r="C22" s="62" t="n">
        <f aca="false">'Raw-Data'!D22</f>
        <v>0.952165384615385</v>
      </c>
      <c r="D22" s="62" t="n">
        <f aca="true">IF(NOT($K21),D21,AVERAGE(OFFSET($M21,-1*MAX($L21,N21),0):OFFSET($M21,0,0)))</f>
        <v>0.639590802240099</v>
      </c>
      <c r="E22" s="63" t="n">
        <f aca="true">IF(NOT($K21),E21,IFERROR(STDEV(OFFSET($M21,-1*MAX($L21,N21),0):OFFSET($M21,0,0)),E21))</f>
        <v>0.112262279934776</v>
      </c>
      <c r="F22" s="62" t="n">
        <f aca="false">MAX(0,D22-3*SQRT(D22*(1-D22)/B22))</f>
        <v>0.524269910161492</v>
      </c>
      <c r="G22" s="64" t="n">
        <v>0.9</v>
      </c>
      <c r="H22" s="65" t="n">
        <f aca="false">(C22-D22)/E22</f>
        <v>2.78432419648782</v>
      </c>
      <c r="I22" s="65" t="n">
        <f aca="false">IF(P22="y",I21,IF(K21,0,MAX(0,I21+H22-0.5)))</f>
        <v>5.57824126738714</v>
      </c>
      <c r="J22" s="65" t="n">
        <f aca="false">IF(P22="y",J21,IF(K21,0,MAX(0,J21-H22+0.5)))</f>
        <v>0</v>
      </c>
      <c r="K22" s="61" t="n">
        <f aca="false" t="array" ref="K22:K22">IFERROR(OR(ABS(I22)&gt;=4, ABS(J22)&gt;=4),FALSE())</f>
        <v>1</v>
      </c>
      <c r="L22" s="61" t="n">
        <f aca="false">IF(K21,0,L21+1)</f>
        <v>5</v>
      </c>
      <c r="M22" s="62" t="n">
        <f aca="false">IF(P22="y","",C22)</f>
        <v>0.952165384615385</v>
      </c>
      <c r="N22" s="61" t="n">
        <f aca="false">MIN(5,N21+1)</f>
        <v>5</v>
      </c>
      <c r="O22" s="66" t="str">
        <f aca="false">IF(C22&gt;=G22,"Yes","No")</f>
        <v>Yes</v>
      </c>
      <c r="P22" s="57"/>
    </row>
    <row r="23" customFormat="false" ht="15" hidden="false" customHeight="true" outlineLevel="0" collapsed="false">
      <c r="A23" s="53" t="n">
        <f aca="false">'Raw-Data'!A21</f>
        <v>46204</v>
      </c>
      <c r="B23" s="5" t="n">
        <f aca="false">'Raw-Data'!B21</f>
        <v>158</v>
      </c>
      <c r="C23" s="7" t="n">
        <f aca="false">'Raw-Data'!D21</f>
        <v>0.676706329113924</v>
      </c>
      <c r="D23" s="7" t="n">
        <f aca="true">IF(NOT($K22),D22,AVERAGE(OFFSET($M22,-1*MAX($L22,N22),0):OFFSET($M22,0,0)))</f>
        <v>0.790313871587252</v>
      </c>
      <c r="E23" s="54" t="n">
        <f aca="true">IF(NOT($K22),E22,IFERROR(STDEV(OFFSET($M22,-1*MAX($L22,N22),0):OFFSET($M22,0,0)),E22))</f>
        <v>0.124494520342426</v>
      </c>
      <c r="F23" s="7" t="n">
        <f aca="false">MAX(0,D23-3*SQRT(D23*(1-D23)/B23))</f>
        <v>0.693156140516527</v>
      </c>
      <c r="G23" s="6" t="n">
        <v>0.9</v>
      </c>
      <c r="H23" s="55" t="n">
        <f aca="false">(C23-D23)/E23</f>
        <v>-0.91255054568544</v>
      </c>
      <c r="I23" s="55" t="n">
        <f aca="false">IF(P23="y",I22,IF(K22,0,MAX(0,I22+H23-0.5)))</f>
        <v>0</v>
      </c>
      <c r="J23" s="55" t="n">
        <f aca="false">IF(P23="y",J22,IF(K22,0,MAX(0,J22-H23+0.5)))</f>
        <v>0</v>
      </c>
      <c r="K23" s="56" t="n">
        <f aca="false" t="array" ref="K23:K23">IFERROR(OR(ABS(I23)&gt;=4, ABS(J23)&gt;=4),FALSE())</f>
        <v>0</v>
      </c>
      <c r="L23" s="5" t="n">
        <f aca="false">IF(K22,0,L22+1)</f>
        <v>0</v>
      </c>
      <c r="M23" s="7" t="n">
        <f aca="false">IF(P23="y","",C23)</f>
        <v>0.676706329113924</v>
      </c>
      <c r="N23" s="5" t="n">
        <f aca="false">MIN(5,N22+1)</f>
        <v>5</v>
      </c>
      <c r="O23" s="5" t="str">
        <f aca="false">IF(C23&gt;=G23,"Yes","No")</f>
        <v>No</v>
      </c>
      <c r="P23" s="57"/>
    </row>
    <row r="24" customFormat="false" ht="15" hidden="false" customHeight="true" outlineLevel="0" collapsed="false">
      <c r="A24" s="60" t="n">
        <f aca="false">'Raw-Data'!A20</f>
        <v>46205</v>
      </c>
      <c r="B24" s="61" t="n">
        <f aca="false">'Raw-Data'!B20</f>
        <v>124</v>
      </c>
      <c r="C24" s="62" t="n">
        <f aca="false">'Raw-Data'!D20</f>
        <v>0.664858064516129</v>
      </c>
      <c r="D24" s="62" t="n">
        <f aca="true">IF(NOT($K23),D23,AVERAGE(OFFSET($M23,-1*MAX($L23,N23),0):OFFSET($M23,0,0)))</f>
        <v>0.790313871587252</v>
      </c>
      <c r="E24" s="63" t="n">
        <f aca="true">IF(NOT($K23),E23,IFERROR(STDEV(OFFSET($M23,-1*MAX($L23,N23),0):OFFSET($M23,0,0)),E23))</f>
        <v>0.124494520342426</v>
      </c>
      <c r="F24" s="62" t="n">
        <f aca="false">MAX(0,D24-3*SQRT(D24*(1-D24)/B24))</f>
        <v>0.680642047946837</v>
      </c>
      <c r="G24" s="64" t="n">
        <v>0.9</v>
      </c>
      <c r="H24" s="65" t="n">
        <f aca="false">(C24-D24)/E24</f>
        <v>-1.00772151839336</v>
      </c>
      <c r="I24" s="65" t="n">
        <f aca="false">IF(P24="y",I23,IF(K23,0,MAX(0,I23+H24-0.5)))</f>
        <v>0</v>
      </c>
      <c r="J24" s="65" t="n">
        <f aca="false">IF(P24="y",J23,IF(K23,0,MAX(0,J23-H24+0.5)))</f>
        <v>1.50772151839336</v>
      </c>
      <c r="K24" s="61" t="n">
        <f aca="false" t="array" ref="K24:K24">IFERROR(OR(ABS(I24)&gt;=4, ABS(J24)&gt;=4),FALSE())</f>
        <v>0</v>
      </c>
      <c r="L24" s="61" t="n">
        <f aca="false">IF(K23,0,L23+1)</f>
        <v>1</v>
      </c>
      <c r="M24" s="62" t="n">
        <f aca="false">IF(P24="y","",C24)</f>
        <v>0.664858064516129</v>
      </c>
      <c r="N24" s="61" t="n">
        <f aca="false">MIN(5,N23+1)</f>
        <v>5</v>
      </c>
      <c r="O24" s="66" t="str">
        <f aca="false">IF(C24&gt;=G24,"Yes","No")</f>
        <v>No</v>
      </c>
      <c r="P24" s="57"/>
    </row>
    <row r="25" customFormat="false" ht="15" hidden="false" customHeight="true" outlineLevel="0" collapsed="false">
      <c r="A25" s="53" t="n">
        <f aca="false">'Raw-Data'!A19</f>
        <v>46206</v>
      </c>
      <c r="B25" s="5" t="n">
        <f aca="false">'Raw-Data'!B19</f>
        <v>172</v>
      </c>
      <c r="C25" s="7" t="n">
        <f aca="false">'Raw-Data'!D19</f>
        <v>0.659446511627907</v>
      </c>
      <c r="D25" s="7" t="n">
        <f aca="true">IF(NOT($K24),D24,AVERAGE(OFFSET($M24,-1*MAX($L24,N24),0):OFFSET($M24,0,0)))</f>
        <v>0.790313871587252</v>
      </c>
      <c r="E25" s="54" t="n">
        <f aca="true">IF(NOT($K24),E24,IFERROR(STDEV(OFFSET($M24,-1*MAX($L24,N24),0):OFFSET($M24,0,0)),E24))</f>
        <v>0.124494520342426</v>
      </c>
      <c r="F25" s="7" t="n">
        <f aca="false">MAX(0,D25-3*SQRT(D25*(1-D25)/B25))</f>
        <v>0.697194146711649</v>
      </c>
      <c r="G25" s="6" t="n">
        <v>0.9</v>
      </c>
      <c r="H25" s="55" t="n">
        <f aca="false">(C25-D25)/E25</f>
        <v>-1.05118971983177</v>
      </c>
      <c r="I25" s="55" t="n">
        <f aca="false">IF(P25="y",I24,IF(K24,0,MAX(0,I24+H25-0.5)))</f>
        <v>0</v>
      </c>
      <c r="J25" s="55" t="n">
        <f aca="false">IF(P25="y",J24,IF(K24,0,MAX(0,J24-H25+0.5)))</f>
        <v>3.05891123822513</v>
      </c>
      <c r="K25" s="56" t="n">
        <f aca="false" t="array" ref="K25:K25">IFERROR(OR(ABS(I25)&gt;=4, ABS(J25)&gt;=4),FALSE())</f>
        <v>0</v>
      </c>
      <c r="L25" s="5" t="n">
        <f aca="false">IF(K24,0,L24+1)</f>
        <v>2</v>
      </c>
      <c r="M25" s="7" t="n">
        <f aca="false">IF(P25="y","",C25)</f>
        <v>0.659446511627907</v>
      </c>
      <c r="N25" s="5" t="n">
        <f aca="false">MIN(5,N24+1)</f>
        <v>5</v>
      </c>
      <c r="O25" s="5" t="str">
        <f aca="false">IF(C25&gt;=G25,"Yes","No")</f>
        <v>No</v>
      </c>
      <c r="P25" s="57"/>
    </row>
    <row r="26" customFormat="false" ht="15" hidden="false" customHeight="true" outlineLevel="0" collapsed="false">
      <c r="A26" s="60" t="n">
        <f aca="false">'Raw-Data'!A18</f>
        <v>46207</v>
      </c>
      <c r="B26" s="61" t="n">
        <f aca="false">'Raw-Data'!B18</f>
        <v>183</v>
      </c>
      <c r="C26" s="62" t="n">
        <f aca="false">'Raw-Data'!D18</f>
        <v>0.543137704918033</v>
      </c>
      <c r="D26" s="62" t="n">
        <f aca="true">IF(NOT($K25),D25,AVERAGE(OFFSET($M25,-1*MAX($L25,N25),0):OFFSET($M25,0,0)))</f>
        <v>0.790313871587252</v>
      </c>
      <c r="E26" s="63" t="n">
        <f aca="true">IF(NOT($K25),E25,IFERROR(STDEV(OFFSET($M25,-1*MAX($L25,N25),0):OFFSET($M25,0,0)),E25))</f>
        <v>0.124494520342426</v>
      </c>
      <c r="F26" s="62" t="n">
        <f aca="false">MAX(0,D26-3*SQRT(D26*(1-D26)/B26))</f>
        <v>0.700036197215158</v>
      </c>
      <c r="G26" s="64" t="n">
        <v>0.9</v>
      </c>
      <c r="H26" s="65" t="n">
        <f aca="false">(C26-D26)/E26</f>
        <v>-1.98543812201014</v>
      </c>
      <c r="I26" s="65" t="n">
        <f aca="false">IF(P26="y",I25,IF(K25,0,MAX(0,I25+H26-0.5)))</f>
        <v>0</v>
      </c>
      <c r="J26" s="65" t="n">
        <f aca="false">IF(P26="y",J25,IF(K25,0,MAX(0,J25-H26+0.5)))</f>
        <v>5.54434936023527</v>
      </c>
      <c r="K26" s="61" t="n">
        <f aca="false" t="array" ref="K26:K26">IFERROR(OR(ABS(I26)&gt;=4, ABS(J26)&gt;=4),FALSE())</f>
        <v>1</v>
      </c>
      <c r="L26" s="61" t="n">
        <f aca="false">IF(K25,0,L25+1)</f>
        <v>3</v>
      </c>
      <c r="M26" s="62" t="n">
        <f aca="false">IF(P26="y","",C26)</f>
        <v>0.543137704918033</v>
      </c>
      <c r="N26" s="61" t="n">
        <f aca="false">MIN(5,N25+1)</f>
        <v>5</v>
      </c>
      <c r="O26" s="66" t="str">
        <f aca="false">IF(C26&gt;=G26,"Yes","No")</f>
        <v>No</v>
      </c>
      <c r="P26" s="57"/>
    </row>
    <row r="27" customFormat="false" ht="15" hidden="false" customHeight="true" outlineLevel="0" collapsed="false">
      <c r="A27" s="53" t="n">
        <f aca="false">'Raw-Data'!A17</f>
        <v>46208</v>
      </c>
      <c r="B27" s="5" t="n">
        <f aca="false">'Raw-Data'!B17</f>
        <v>197</v>
      </c>
      <c r="C27" s="7" t="n">
        <f aca="false">'Raw-Data'!D17</f>
        <v>0.514345177664975</v>
      </c>
      <c r="D27" s="7" t="n">
        <f aca="true">IF(NOT($K26),D26,AVERAGE(OFFSET($M26,-1*MAX($L26,N26),0):OFFSET($M26,0,0)))</f>
        <v>0.702323428036325</v>
      </c>
      <c r="E27" s="54" t="n">
        <f aca="true">IF(NOT($K26),E26,IFERROR(STDEV(OFFSET($M26,-1*MAX($L26,N26),0):OFFSET($M26,0,0)),E26))</f>
        <v>0.135568140174878</v>
      </c>
      <c r="F27" s="7" t="n">
        <f aca="false">MAX(0,D27-3*SQRT(D27*(1-D27)/B27))</f>
        <v>0.60459316955729</v>
      </c>
      <c r="G27" s="6" t="n">
        <v>0.9</v>
      </c>
      <c r="H27" s="55" t="n">
        <f aca="false">(C27-D27)/E27</f>
        <v>-1.38659606990895</v>
      </c>
      <c r="I27" s="55" t="n">
        <f aca="false">IF(P27="y",I26,IF(K26,0,MAX(0,I26+H27-0.5)))</f>
        <v>0</v>
      </c>
      <c r="J27" s="55" t="n">
        <f aca="false">IF(P27="y",J26,IF(K26,0,MAX(0,J26-H27+0.5)))</f>
        <v>0</v>
      </c>
      <c r="K27" s="56" t="n">
        <f aca="false" t="array" ref="K27:K27">IFERROR(OR(ABS(I27)&gt;=4, ABS(J27)&gt;=4),FALSE())</f>
        <v>0</v>
      </c>
      <c r="L27" s="5" t="n">
        <f aca="false">IF(K26,0,L26+1)</f>
        <v>0</v>
      </c>
      <c r="M27" s="7" t="n">
        <f aca="false">IF(P27="y","",C27)</f>
        <v>0.514345177664975</v>
      </c>
      <c r="N27" s="5" t="n">
        <f aca="false">MIN(5,N26+1)</f>
        <v>5</v>
      </c>
      <c r="O27" s="5" t="str">
        <f aca="false">IF(C27&gt;=G27,"Yes","No")</f>
        <v>No</v>
      </c>
      <c r="P27" s="57"/>
    </row>
    <row r="28" customFormat="false" ht="15" hidden="false" customHeight="true" outlineLevel="0" collapsed="false">
      <c r="A28" s="60" t="n">
        <f aca="false">'Raw-Data'!A16</f>
        <v>46209</v>
      </c>
      <c r="B28" s="61" t="n">
        <f aca="false">'Raw-Data'!B16</f>
        <v>142</v>
      </c>
      <c r="C28" s="62" t="n">
        <f aca="false">'Raw-Data'!D16</f>
        <v>0.722356338028169</v>
      </c>
      <c r="D28" s="62" t="n">
        <f aca="true">IF(NOT($K27),D27,AVERAGE(OFFSET($M27,-1*MAX($L27,N27),0):OFFSET($M27,0,0)))</f>
        <v>0.702323428036325</v>
      </c>
      <c r="E28" s="63" t="n">
        <f aca="true">IF(NOT($K27),E27,IFERROR(STDEV(OFFSET($M27,-1*MAX($L27,N27),0):OFFSET($M27,0,0)),E27))</f>
        <v>0.135568140174878</v>
      </c>
      <c r="F28" s="62" t="n">
        <f aca="false">MAX(0,D28-3*SQRT(D28*(1-D28)/B28))</f>
        <v>0.587212120170188</v>
      </c>
      <c r="G28" s="64" t="n">
        <v>0.9</v>
      </c>
      <c r="H28" s="65" t="n">
        <f aca="false">(C28-D28)/E28</f>
        <v>0.147770043654815</v>
      </c>
      <c r="I28" s="65" t="n">
        <f aca="false">IF(P28="y",I27,IF(K27,0,MAX(0,I27+H28-0.5)))</f>
        <v>0</v>
      </c>
      <c r="J28" s="65" t="n">
        <f aca="false">IF(P28="y",J27,IF(K27,0,MAX(0,J27-H28+0.5)))</f>
        <v>0.352229956345185</v>
      </c>
      <c r="K28" s="61" t="n">
        <f aca="false" t="array" ref="K28:K28">IFERROR(OR(ABS(I28)&gt;=4, ABS(J28)&gt;=4),FALSE())</f>
        <v>0</v>
      </c>
      <c r="L28" s="61" t="n">
        <f aca="false">IF(K27,0,L27+1)</f>
        <v>1</v>
      </c>
      <c r="M28" s="62" t="n">
        <f aca="false">IF(P28="y","",C28)</f>
        <v>0.722356338028169</v>
      </c>
      <c r="N28" s="61" t="n">
        <f aca="false">MIN(5,N27+1)</f>
        <v>5</v>
      </c>
      <c r="O28" s="66" t="str">
        <f aca="false">IF(C28&gt;=G28,"Yes","No")</f>
        <v>No</v>
      </c>
      <c r="P28" s="57"/>
    </row>
    <row r="29" customFormat="false" ht="15" hidden="false" customHeight="true" outlineLevel="0" collapsed="false">
      <c r="A29" s="53" t="n">
        <f aca="false">'Raw-Data'!A15</f>
        <v>46210</v>
      </c>
      <c r="B29" s="5" t="n">
        <f aca="false">'Raw-Data'!B15</f>
        <v>156</v>
      </c>
      <c r="C29" s="7" t="n">
        <f aca="false">'Raw-Data'!D15</f>
        <v>0.734157051282051</v>
      </c>
      <c r="D29" s="7" t="n">
        <f aca="true">IF(NOT($K28),D28,AVERAGE(OFFSET($M28,-1*MAX($L28,N28),0):OFFSET($M28,0,0)))</f>
        <v>0.702323428036325</v>
      </c>
      <c r="E29" s="54" t="n">
        <f aca="true">IF(NOT($K28),E28,IFERROR(STDEV(OFFSET($M28,-1*MAX($L28,N28),0):OFFSET($M28,0,0)),E28))</f>
        <v>0.135568140174878</v>
      </c>
      <c r="F29" s="7" t="n">
        <f aca="false">MAX(0,D29-3*SQRT(D29*(1-D29)/B29))</f>
        <v>0.592498769585221</v>
      </c>
      <c r="G29" s="6" t="n">
        <v>0.9</v>
      </c>
      <c r="H29" s="55" t="n">
        <f aca="false">(C29-D29)/E29</f>
        <v>0.234816404537688</v>
      </c>
      <c r="I29" s="55" t="n">
        <f aca="false">IF(P29="y",I28,IF(K28,0,MAX(0,I28+H29-0.5)))</f>
        <v>0</v>
      </c>
      <c r="J29" s="55" t="n">
        <f aca="false">IF(P29="y",J28,IF(K28,0,MAX(0,J28-H29+0.5)))</f>
        <v>0.617413551807497</v>
      </c>
      <c r="K29" s="56" t="n">
        <f aca="false" t="array" ref="K29:K29">IFERROR(OR(ABS(I29)&gt;=4, ABS(J29)&gt;=4),FALSE())</f>
        <v>0</v>
      </c>
      <c r="L29" s="5" t="n">
        <f aca="false">IF(K28,0,L28+1)</f>
        <v>2</v>
      </c>
      <c r="M29" s="7" t="n">
        <f aca="false">IF(P29="y","",C29)</f>
        <v>0.734157051282051</v>
      </c>
      <c r="N29" s="5" t="n">
        <f aca="false">MIN(5,N28+1)</f>
        <v>5</v>
      </c>
      <c r="O29" s="5" t="str">
        <f aca="false">IF(C29&gt;=G29,"Yes","No")</f>
        <v>No</v>
      </c>
      <c r="P29" s="57"/>
    </row>
    <row r="30" customFormat="false" ht="15" hidden="false" customHeight="true" outlineLevel="0" collapsed="false">
      <c r="A30" s="60" t="n">
        <f aca="false">'Raw-Data'!A14</f>
        <v>46211</v>
      </c>
      <c r="B30" s="61" t="n">
        <f aca="false">'Raw-Data'!B14</f>
        <v>160</v>
      </c>
      <c r="C30" s="62" t="n">
        <f aca="false">'Raw-Data'!D14</f>
        <v>0.79858</v>
      </c>
      <c r="D30" s="62" t="n">
        <f aca="true">IF(NOT($K29),D29,AVERAGE(OFFSET($M29,-1*MAX($L29,N29),0):OFFSET($M29,0,0)))</f>
        <v>0.702323428036325</v>
      </c>
      <c r="E30" s="63" t="n">
        <f aca="true">IF(NOT($K29),E29,IFERROR(STDEV(OFFSET($M29,-1*MAX($L29,N29),0):OFFSET($M29,0,0)),E29))</f>
        <v>0.135568140174878</v>
      </c>
      <c r="F30" s="62" t="n">
        <f aca="false">MAX(0,D30-3*SQRT(D30*(1-D30)/B30))</f>
        <v>0.593880266823623</v>
      </c>
      <c r="G30" s="64" t="n">
        <v>0.9</v>
      </c>
      <c r="H30" s="65" t="n">
        <f aca="false">(C30-D30)/E30</f>
        <v>0.710023548597093</v>
      </c>
      <c r="I30" s="65" t="n">
        <f aca="false">IF(P30="y",I29,IF(K29,0,MAX(0,I29+H30-0.5)))</f>
        <v>0.210023548597093</v>
      </c>
      <c r="J30" s="65" t="n">
        <f aca="false">IF(P30="y",J29,IF(K29,0,MAX(0,J29-H30+0.5)))</f>
        <v>0.407390003210404</v>
      </c>
      <c r="K30" s="61" t="n">
        <f aca="false" t="array" ref="K30:K30">IFERROR(OR(ABS(I30)&gt;=4, ABS(J30)&gt;=4),FALSE())</f>
        <v>0</v>
      </c>
      <c r="L30" s="61" t="n">
        <f aca="false">IF(K29,0,L29+1)</f>
        <v>3</v>
      </c>
      <c r="M30" s="62" t="n">
        <f aca="false">IF(P30="y","",C30)</f>
        <v>0.79858</v>
      </c>
      <c r="N30" s="61" t="n">
        <f aca="false">MIN(5,N29+1)</f>
        <v>5</v>
      </c>
      <c r="O30" s="66" t="str">
        <f aca="false">IF(C30&gt;=G30,"Yes","No")</f>
        <v>No</v>
      </c>
      <c r="P30" s="57"/>
    </row>
    <row r="31" customFormat="false" ht="15" hidden="false" customHeight="true" outlineLevel="0" collapsed="false">
      <c r="A31" s="53" t="n">
        <f aca="false">'Raw-Data'!A13</f>
        <v>46212</v>
      </c>
      <c r="B31" s="5" t="n">
        <f aca="false">'Raw-Data'!B13</f>
        <v>143</v>
      </c>
      <c r="C31" s="7" t="n">
        <f aca="false">'Raw-Data'!D13</f>
        <v>0.839017482517483</v>
      </c>
      <c r="D31" s="7" t="n">
        <f aca="true">IF(NOT($K30),D30,AVERAGE(OFFSET($M30,-1*MAX($L30,N30),0):OFFSET($M30,0,0)))</f>
        <v>0.702323428036325</v>
      </c>
      <c r="E31" s="54" t="n">
        <f aca="true">IF(NOT($K30),E30,IFERROR(STDEV(OFFSET($M30,-1*MAX($L30,N30),0):OFFSET($M30,0,0)),E30))</f>
        <v>0.135568140174878</v>
      </c>
      <c r="F31" s="7" t="n">
        <f aca="false">MAX(0,D31-3*SQRT(D31*(1-D31)/B31))</f>
        <v>0.587615313380505</v>
      </c>
      <c r="G31" s="6" t="n">
        <v>0.9</v>
      </c>
      <c r="H31" s="55" t="n">
        <f aca="false">(C31-D31)/E31</f>
        <v>1.00830515418171</v>
      </c>
      <c r="I31" s="55" t="n">
        <f aca="false">IF(P31="y",I30,IF(K30,0,MAX(0,I30+H31-0.5)))</f>
        <v>0.7183287027788</v>
      </c>
      <c r="J31" s="55" t="n">
        <f aca="false">IF(P31="y",J30,IF(K30,0,MAX(0,J30-H31+0.5)))</f>
        <v>0</v>
      </c>
      <c r="K31" s="56" t="n">
        <f aca="false" t="array" ref="K31:K31">IFERROR(OR(ABS(I31)&gt;=4, ABS(J31)&gt;=4),FALSE())</f>
        <v>0</v>
      </c>
      <c r="L31" s="5" t="n">
        <f aca="false">IF(K30,0,L30+1)</f>
        <v>4</v>
      </c>
      <c r="M31" s="7" t="n">
        <f aca="false">IF(P31="y","",C31)</f>
        <v>0.839017482517483</v>
      </c>
      <c r="N31" s="5" t="n">
        <f aca="false">MIN(5,N30+1)</f>
        <v>5</v>
      </c>
      <c r="O31" s="5" t="str">
        <f aca="false">IF(C31&gt;=G31,"Yes","No")</f>
        <v>No</v>
      </c>
      <c r="P31" s="57"/>
    </row>
    <row r="32" customFormat="false" ht="15" hidden="false" customHeight="true" outlineLevel="0" collapsed="false">
      <c r="A32" s="60" t="n">
        <f aca="false">'Raw-Data'!A12</f>
        <v>46213</v>
      </c>
      <c r="B32" s="61" t="n">
        <f aca="false">'Raw-Data'!B12</f>
        <v>179</v>
      </c>
      <c r="C32" s="62" t="n">
        <f aca="false">'Raw-Data'!D12</f>
        <v>0.930127374301676</v>
      </c>
      <c r="D32" s="62" t="n">
        <f aca="true">IF(NOT($K31),D31,AVERAGE(OFFSET($M31,-1*MAX($L31,N31),0):OFFSET($M31,0,0)))</f>
        <v>0.702323428036325</v>
      </c>
      <c r="E32" s="63" t="n">
        <f aca="true">IF(NOT($K31),E31,IFERROR(STDEV(OFFSET($M31,-1*MAX($L31,N31),0):OFFSET($M31,0,0)),E31))</f>
        <v>0.135568140174878</v>
      </c>
      <c r="F32" s="62" t="n">
        <f aca="false">MAX(0,D32-3*SQRT(D32*(1-D32)/B32))</f>
        <v>0.599797042981303</v>
      </c>
      <c r="G32" s="64" t="n">
        <v>0.9</v>
      </c>
      <c r="H32" s="65" t="n">
        <f aca="false">(C32-D32)/E32</f>
        <v>1.68036491443707</v>
      </c>
      <c r="I32" s="65" t="n">
        <f aca="false">IF(P32="y",I31,IF(K31,0,MAX(0,I31+H32-0.5)))</f>
        <v>1.89869361721587</v>
      </c>
      <c r="J32" s="65" t="n">
        <f aca="false">IF(P32="y",J31,IF(K31,0,MAX(0,J31-H32+0.5)))</f>
        <v>0</v>
      </c>
      <c r="K32" s="61" t="n">
        <f aca="false" t="array" ref="K32:K32">IFERROR(OR(ABS(I32)&gt;=4, ABS(J32)&gt;=4),FALSE())</f>
        <v>0</v>
      </c>
      <c r="L32" s="61" t="n">
        <f aca="false">IF(K31,0,L31+1)</f>
        <v>5</v>
      </c>
      <c r="M32" s="62" t="n">
        <f aca="false">IF(P32="y","",C32)</f>
        <v>0.930127374301676</v>
      </c>
      <c r="N32" s="61" t="n">
        <f aca="false">MIN(5,N31+1)</f>
        <v>5</v>
      </c>
      <c r="O32" s="66" t="str">
        <f aca="false">IF(C32&gt;=G32,"Yes","No")</f>
        <v>Yes</v>
      </c>
      <c r="P32" s="57"/>
    </row>
    <row r="33" customFormat="false" ht="15" hidden="false" customHeight="true" outlineLevel="0" collapsed="false">
      <c r="A33" s="53" t="n">
        <f aca="false">'Raw-Data'!A11</f>
        <v>46214</v>
      </c>
      <c r="B33" s="5" t="n">
        <f aca="false">'Raw-Data'!B11</f>
        <v>184</v>
      </c>
      <c r="C33" s="7" t="n">
        <f aca="false">'Raw-Data'!D11</f>
        <v>0.968434782608696</v>
      </c>
      <c r="D33" s="7" t="n">
        <f aca="true">IF(NOT($K32),D32,AVERAGE(OFFSET($M32,-1*MAX($L32,N32),0):OFFSET($M32,0,0)))</f>
        <v>0.702323428036325</v>
      </c>
      <c r="E33" s="54" t="n">
        <f aca="true">IF(NOT($K32),E32,IFERROR(STDEV(OFFSET($M32,-1*MAX($L32,N32),0):OFFSET($M32,0,0)),E32))</f>
        <v>0.135568140174878</v>
      </c>
      <c r="F33" s="7" t="n">
        <f aca="false">MAX(0,D33-3*SQRT(D33*(1-D33)/B33))</f>
        <v>0.601199658784701</v>
      </c>
      <c r="G33" s="6" t="n">
        <v>0.9</v>
      </c>
      <c r="H33" s="55" t="n">
        <f aca="false">(C33-D33)/E33</f>
        <v>1.96293431649278</v>
      </c>
      <c r="I33" s="55" t="n">
        <f aca="false">IF(P33="y",I32,IF(K32,0,MAX(0,I32+H33-0.5)))</f>
        <v>3.36162793370864</v>
      </c>
      <c r="J33" s="55" t="n">
        <f aca="false">IF(P33="y",J32,IF(K32,0,MAX(0,J32-H33+0.5)))</f>
        <v>0</v>
      </c>
      <c r="K33" s="56" t="n">
        <f aca="false" t="array" ref="K33:K33">IFERROR(OR(ABS(I33)&gt;=4, ABS(J33)&gt;=4),FALSE())</f>
        <v>0</v>
      </c>
      <c r="L33" s="5" t="n">
        <f aca="false">IF(K32,0,L32+1)</f>
        <v>6</v>
      </c>
      <c r="M33" s="7" t="n">
        <f aca="false">IF(P33="y","",C33)</f>
        <v>0.968434782608696</v>
      </c>
      <c r="N33" s="5" t="n">
        <f aca="false">MIN(5,N32+1)</f>
        <v>5</v>
      </c>
      <c r="O33" s="5" t="str">
        <f aca="false">IF(C33&gt;=G33,"Yes","No")</f>
        <v>Yes</v>
      </c>
      <c r="P33" s="57"/>
    </row>
    <row r="34" customFormat="false" ht="15" hidden="false" customHeight="true" outlineLevel="0" collapsed="false">
      <c r="A34" s="60" t="n">
        <f aca="false">'Raw-Data'!A10</f>
        <v>46215</v>
      </c>
      <c r="B34" s="61" t="n">
        <f aca="false">'Raw-Data'!B10</f>
        <v>182</v>
      </c>
      <c r="C34" s="62" t="n">
        <f aca="false">'Raw-Data'!D10</f>
        <v>0.730882967032967</v>
      </c>
      <c r="D34" s="62" t="n">
        <f aca="true">IF(NOT($K33),D33,AVERAGE(OFFSET($M33,-1*MAX($L33,N33),0):OFFSET($M33,0,0)))</f>
        <v>0.702323428036325</v>
      </c>
      <c r="E34" s="63" t="n">
        <f aca="true">IF(NOT($K33),E33,IFERROR(STDEV(OFFSET($M33,-1*MAX($L33,N33),0):OFFSET($M33,0,0)),E33))</f>
        <v>0.135568140174878</v>
      </c>
      <c r="F34" s="62" t="n">
        <f aca="false">MAX(0,D34-3*SQRT(D34*(1-D34)/B34))</f>
        <v>0.600645551791637</v>
      </c>
      <c r="G34" s="64" t="n">
        <v>0.9</v>
      </c>
      <c r="H34" s="65" t="n">
        <f aca="false">(C34-D34)/E34</f>
        <v>0.210665566111633</v>
      </c>
      <c r="I34" s="65" t="n">
        <f aca="false">IF(P34="y",I33,IF(K33,0,MAX(0,I33+H34-0.5)))</f>
        <v>3.07229349982028</v>
      </c>
      <c r="J34" s="65" t="n">
        <f aca="false">IF(P34="y",J33,IF(K33,0,MAX(0,J33-H34+0.5)))</f>
        <v>0.289334433888367</v>
      </c>
      <c r="K34" s="61" t="n">
        <f aca="false" t="array" ref="K34:K34">IFERROR(OR(ABS(I34)&gt;=4, ABS(J34)&gt;=4),FALSE())</f>
        <v>0</v>
      </c>
      <c r="L34" s="61" t="n">
        <f aca="false">IF(K33,0,L33+1)</f>
        <v>7</v>
      </c>
      <c r="M34" s="62" t="n">
        <f aca="false">IF(P34="y","",C34)</f>
        <v>0.730882967032967</v>
      </c>
      <c r="N34" s="61" t="n">
        <f aca="false">MIN(5,N33+1)</f>
        <v>5</v>
      </c>
      <c r="O34" s="66" t="str">
        <f aca="false">IF(C34&gt;=G34,"Yes","No")</f>
        <v>No</v>
      </c>
      <c r="P34" s="57"/>
    </row>
    <row r="35" customFormat="false" ht="15" hidden="false" customHeight="true" outlineLevel="0" collapsed="false">
      <c r="A35" s="53" t="n">
        <f aca="false">'Raw-Data'!A9</f>
        <v>46216</v>
      </c>
      <c r="B35" s="5" t="n">
        <f aca="false">'Raw-Data'!B9</f>
        <v>191</v>
      </c>
      <c r="C35" s="7" t="n">
        <f aca="false">'Raw-Data'!D9</f>
        <v>0.619267015706806</v>
      </c>
      <c r="D35" s="7" t="n">
        <f aca="true">IF(NOT($K34),D34,AVERAGE(OFFSET($M34,-1*MAX($L34,N34),0):OFFSET($M34,0,0)))</f>
        <v>0.702323428036325</v>
      </c>
      <c r="E35" s="54" t="n">
        <f aca="true">IF(NOT($K34),E34,IFERROR(STDEV(OFFSET($M34,-1*MAX($L34,N34),0):OFFSET($M34,0,0)),E34))</f>
        <v>0.135568140174878</v>
      </c>
      <c r="F35" s="7" t="n">
        <f aca="false">MAX(0,D35-3*SQRT(D35*(1-D35)/B35))</f>
        <v>0.603070008819538</v>
      </c>
      <c r="G35" s="6" t="n">
        <v>0.9</v>
      </c>
      <c r="H35" s="55" t="n">
        <f aca="false">(C35-D35)/E35</f>
        <v>-0.612654361285619</v>
      </c>
      <c r="I35" s="55" t="n">
        <f aca="false">IF(P35="y",I34,IF(K34,0,MAX(0,I34+H35-0.5)))</f>
        <v>1.95963913853466</v>
      </c>
      <c r="J35" s="55" t="n">
        <f aca="false">IF(P35="y",J34,IF(K34,0,MAX(0,J34-H35+0.5)))</f>
        <v>1.40198879517399</v>
      </c>
      <c r="K35" s="56" t="n">
        <f aca="false" t="array" ref="K35:K35">IFERROR(OR(ABS(I35)&gt;=4, ABS(J35)&gt;=4),FALSE())</f>
        <v>0</v>
      </c>
      <c r="L35" s="5" t="n">
        <f aca="false">IF(K34,0,L34+1)</f>
        <v>8</v>
      </c>
      <c r="M35" s="7" t="n">
        <f aca="false">IF(P35="y","",C35)</f>
        <v>0.619267015706806</v>
      </c>
      <c r="N35" s="5" t="n">
        <f aca="false">MIN(5,N34+1)</f>
        <v>5</v>
      </c>
      <c r="O35" s="5" t="str">
        <f aca="false">IF(C35&gt;=G35,"Yes","No")</f>
        <v>No</v>
      </c>
      <c r="P35" s="57"/>
    </row>
    <row r="36" customFormat="false" ht="15" hidden="false" customHeight="true" outlineLevel="0" collapsed="false">
      <c r="A36" s="60" t="n">
        <f aca="false">'Raw-Data'!A8</f>
        <v>46217</v>
      </c>
      <c r="B36" s="61" t="n">
        <f aca="false">'Raw-Data'!B8</f>
        <v>194</v>
      </c>
      <c r="C36" s="62" t="n">
        <f aca="false">'Raw-Data'!D8</f>
        <v>0.836350515463918</v>
      </c>
      <c r="D36" s="62" t="n">
        <f aca="true">IF(NOT($K35),D35,AVERAGE(OFFSET($M35,-1*MAX($L35,N35),0):OFFSET($M35,0,0)))</f>
        <v>0.702323428036325</v>
      </c>
      <c r="E36" s="63" t="n">
        <f aca="true">IF(NOT($K35),E35,IFERROR(STDEV(OFFSET($M35,-1*MAX($L35,N35),0):OFFSET($M35,0,0)),E35))</f>
        <v>0.135568140174878</v>
      </c>
      <c r="F36" s="62" t="n">
        <f aca="false">MAX(0,D36-3*SQRT(D36*(1-D36)/B36))</f>
        <v>0.603840422170467</v>
      </c>
      <c r="G36" s="64" t="n">
        <v>0.9</v>
      </c>
      <c r="H36" s="65" t="n">
        <f aca="false">(C36-D36)/E36</f>
        <v>0.988632633410052</v>
      </c>
      <c r="I36" s="65" t="n">
        <f aca="false">IF(P36="y",I35,IF(K35,0,MAX(0,I35+H36-0.5)))</f>
        <v>2.44827177194471</v>
      </c>
      <c r="J36" s="65" t="n">
        <f aca="false">IF(P36="y",J35,IF(K35,0,MAX(0,J35-H36+0.5)))</f>
        <v>0.913356161763935</v>
      </c>
      <c r="K36" s="61" t="n">
        <f aca="false" t="array" ref="K36:K36">IFERROR(OR(ABS(I36)&gt;=4, ABS(J36)&gt;=4),FALSE())</f>
        <v>0</v>
      </c>
      <c r="L36" s="61" t="n">
        <f aca="false">IF(K35,0,L35+1)</f>
        <v>9</v>
      </c>
      <c r="M36" s="62" t="n">
        <f aca="false">IF(P36="y","",C36)</f>
        <v>0.836350515463918</v>
      </c>
      <c r="N36" s="61" t="n">
        <f aca="false">MIN(5,N35+1)</f>
        <v>5</v>
      </c>
      <c r="O36" s="66" t="str">
        <f aca="false">IF(C36&gt;=G36,"Yes","No")</f>
        <v>No</v>
      </c>
      <c r="P36" s="57"/>
    </row>
    <row r="37" customFormat="false" ht="15" hidden="false" customHeight="true" outlineLevel="0" collapsed="false">
      <c r="A37" s="53" t="n">
        <f aca="false">'Raw-Data'!A7</f>
        <v>46218</v>
      </c>
      <c r="B37" s="5" t="n">
        <f aca="false">'Raw-Data'!B7</f>
        <v>181</v>
      </c>
      <c r="C37" s="7" t="n">
        <f aca="false">'Raw-Data'!D7</f>
        <v>0.867061878453039</v>
      </c>
      <c r="D37" s="7" t="n">
        <f aca="true">IF(NOT($K36),D36,AVERAGE(OFFSET($M36,-1*MAX($L36,N36),0):OFFSET($M36,0,0)))</f>
        <v>0.702323428036325</v>
      </c>
      <c r="E37" s="54" t="n">
        <f aca="true">IF(NOT($K36),E36,IFERROR(STDEV(OFFSET($M36,-1*MAX($L36,N36),0):OFFSET($M36,0,0)),E36))</f>
        <v>0.135568140174878</v>
      </c>
      <c r="F37" s="7" t="n">
        <f aca="false">MAX(0,D37-3*SQRT(D37*(1-D37)/B37))</f>
        <v>0.600365060565649</v>
      </c>
      <c r="G37" s="6" t="n">
        <v>0.9</v>
      </c>
      <c r="H37" s="55" t="n">
        <f aca="false">(C37-D37)/E37</f>
        <v>1.21517083736789</v>
      </c>
      <c r="I37" s="55" t="n">
        <f aca="false">IF(P37="y",I36,IF(K36,0,MAX(0,I36+H37-0.5)))</f>
        <v>3.1634426093126</v>
      </c>
      <c r="J37" s="55" t="n">
        <f aca="false">IF(P37="y",J36,IF(K36,0,MAX(0,J36-H37+0.5)))</f>
        <v>0.198185324396046</v>
      </c>
      <c r="K37" s="56" t="n">
        <f aca="false" t="array" ref="K37:K37">IFERROR(OR(ABS(I37)&gt;=4, ABS(J37)&gt;=4),FALSE())</f>
        <v>0</v>
      </c>
      <c r="L37" s="5" t="n">
        <f aca="false">IF(K36,0,L36+1)</f>
        <v>10</v>
      </c>
      <c r="M37" s="7" t="n">
        <f aca="false">IF(P37="y","",C37)</f>
        <v>0.867061878453039</v>
      </c>
      <c r="N37" s="5" t="n">
        <f aca="false">MIN(5,N36+1)</f>
        <v>5</v>
      </c>
      <c r="O37" s="5" t="str">
        <f aca="false">IF(C37&gt;=G37,"Yes","No")</f>
        <v>No</v>
      </c>
      <c r="P37" s="57"/>
    </row>
    <row r="38" customFormat="false" ht="15" hidden="false" customHeight="true" outlineLevel="0" collapsed="false">
      <c r="A38" s="60" t="n">
        <f aca="false">'Raw-Data'!A6</f>
        <v>46219</v>
      </c>
      <c r="B38" s="61" t="n">
        <f aca="false">'Raw-Data'!B6</f>
        <v>190</v>
      </c>
      <c r="C38" s="62" t="n">
        <f aca="false">'Raw-Data'!D6</f>
        <v>0.675655789473684</v>
      </c>
      <c r="D38" s="62" t="n">
        <f aca="true">IF(NOT($K37),D37,AVERAGE(OFFSET($M37,-1*MAX($L37,N37),0):OFFSET($M37,0,0)))</f>
        <v>0.702323428036325</v>
      </c>
      <c r="E38" s="63" t="n">
        <f aca="true">IF(NOT($K37),E37,IFERROR(STDEV(OFFSET($M37,-1*MAX($L37,N37),0):OFFSET($M37,0,0)),E37))</f>
        <v>0.135568140174878</v>
      </c>
      <c r="F38" s="62" t="n">
        <f aca="false">MAX(0,D38-3*SQRT(D38*(1-D38)/B38))</f>
        <v>0.602809158384902</v>
      </c>
      <c r="G38" s="64" t="n">
        <v>0.9</v>
      </c>
      <c r="H38" s="65" t="n">
        <f aca="false">(C38-D38)/E38</f>
        <v>-0.196710219143236</v>
      </c>
      <c r="I38" s="65" t="n">
        <f aca="false">IF(P38="y",I37,IF(K37,0,MAX(0,I37+H38-0.5)))</f>
        <v>2.46673239016936</v>
      </c>
      <c r="J38" s="65" t="n">
        <f aca="false">IF(P38="y",J37,IF(K37,0,MAX(0,J37-H38+0.5)))</f>
        <v>0.894895543539282</v>
      </c>
      <c r="K38" s="61" t="n">
        <f aca="false" t="array" ref="K38:K38">IFERROR(OR(ABS(I38)&gt;=4, ABS(J38)&gt;=4),FALSE())</f>
        <v>0</v>
      </c>
      <c r="L38" s="61" t="n">
        <f aca="false">IF(K37,0,L37+1)</f>
        <v>11</v>
      </c>
      <c r="M38" s="62" t="n">
        <f aca="false">IF(P38="y","",C38)</f>
        <v>0.675655789473684</v>
      </c>
      <c r="N38" s="61" t="n">
        <f aca="false">MIN(5,N37+1)</f>
        <v>5</v>
      </c>
      <c r="O38" s="66" t="str">
        <f aca="false">IF(C38&gt;=G38,"Yes","No")</f>
        <v>No</v>
      </c>
      <c r="P38" s="57"/>
    </row>
    <row r="39" customFormat="false" ht="15" hidden="false" customHeight="true" outlineLevel="0" collapsed="false">
      <c r="A39" s="53" t="n">
        <f aca="false">'Raw-Data'!A5</f>
        <v>46220</v>
      </c>
      <c r="B39" s="5" t="n">
        <f aca="false">'Raw-Data'!B5</f>
        <v>168</v>
      </c>
      <c r="C39" s="7" t="n">
        <f aca="false">'Raw-Data'!D5</f>
        <v>0.76845</v>
      </c>
      <c r="D39" s="7" t="n">
        <f aca="true">IF(NOT($K38),D38,AVERAGE(OFFSET($M38,-1*MAX($L38,N38),0):OFFSET($M38,0,0)))</f>
        <v>0.702323428036325</v>
      </c>
      <c r="E39" s="54" t="n">
        <f aca="true">IF(NOT($K38),E38,IFERROR(STDEV(OFFSET($M38,-1*MAX($L38,N38),0):OFFSET($M38,0,0)),E38))</f>
        <v>0.135568140174878</v>
      </c>
      <c r="F39" s="7" t="n">
        <f aca="false">MAX(0,D39-3*SQRT(D39*(1-D39)/B39))</f>
        <v>0.596493739098079</v>
      </c>
      <c r="G39" s="6" t="n">
        <v>0.9</v>
      </c>
      <c r="H39" s="55" t="n">
        <f aca="false">(C39-D39)/E39</f>
        <v>0.487773689882993</v>
      </c>
      <c r="I39" s="55" t="n">
        <f aca="false">IF(P39="y",I38,IF(K38,0,MAX(0,I38+H39-0.5)))</f>
        <v>2.45450608005235</v>
      </c>
      <c r="J39" s="55" t="n">
        <f aca="false">IF(P39="y",J38,IF(K38,0,MAX(0,J38-H39+0.5)))</f>
        <v>0.907121853656289</v>
      </c>
      <c r="K39" s="56" t="n">
        <f aca="false" t="array" ref="K39:K39">IFERROR(OR(ABS(I39)&gt;=4, ABS(J39)&gt;=4),FALSE())</f>
        <v>0</v>
      </c>
      <c r="L39" s="5" t="n">
        <f aca="false">IF(K38,0,L38+1)</f>
        <v>12</v>
      </c>
      <c r="M39" s="7" t="n">
        <f aca="false">IF(P39="y","",C39)</f>
        <v>0.76845</v>
      </c>
      <c r="N39" s="5" t="n">
        <f aca="false">MIN(5,N38+1)</f>
        <v>5</v>
      </c>
      <c r="O39" s="5" t="str">
        <f aca="false">IF(C39&gt;=G39,"Yes","No")</f>
        <v>No</v>
      </c>
      <c r="P39" s="57"/>
    </row>
    <row r="40" customFormat="false" ht="15" hidden="false" customHeight="true" outlineLevel="0" collapsed="false">
      <c r="A40" s="60" t="n">
        <f aca="false">'Raw-Data'!A4</f>
        <v>46221</v>
      </c>
      <c r="B40" s="61" t="n">
        <f aca="false">'Raw-Data'!B4</f>
        <v>201</v>
      </c>
      <c r="C40" s="62" t="n">
        <f aca="false">'Raw-Data'!D4</f>
        <v>0.669861194029851</v>
      </c>
      <c r="D40" s="62" t="n">
        <f aca="true">IF(NOT($K39),D39,AVERAGE(OFFSET($M39,-1*MAX($L39,N39),0):OFFSET($M39,0,0)))</f>
        <v>0.702323428036325</v>
      </c>
      <c r="E40" s="63" t="n">
        <f aca="true">IF(NOT($K39),E39,IFERROR(STDEV(OFFSET($M39,-1*MAX($L39,N39),0):OFFSET($M39,0,0)),E39))</f>
        <v>0.135568140174878</v>
      </c>
      <c r="F40" s="62" t="n">
        <f aca="false">MAX(0,D40-3*SQRT(D40*(1-D40)/B40))</f>
        <v>0.605570496698659</v>
      </c>
      <c r="G40" s="64" t="n">
        <v>0.9</v>
      </c>
      <c r="H40" s="65" t="n">
        <f aca="false">(C40-D40)/E40</f>
        <v>-0.239453266561003</v>
      </c>
      <c r="I40" s="65" t="n">
        <f aca="false">IF(P40="y",I39,IF(K39,0,MAX(0,I39+H40-0.5)))</f>
        <v>1.71505281349135</v>
      </c>
      <c r="J40" s="65" t="n">
        <f aca="false">IF(P40="y",J39,IF(K39,0,MAX(0,J39-H40+0.5)))</f>
        <v>1.64657512021729</v>
      </c>
      <c r="K40" s="61" t="n">
        <f aca="false" t="array" ref="K40:K40">IFERROR(OR(ABS(I40)&gt;=4, ABS(J40)&gt;=4),FALSE())</f>
        <v>0</v>
      </c>
      <c r="L40" s="61" t="n">
        <f aca="false">IF(K39,0,L39+1)</f>
        <v>13</v>
      </c>
      <c r="M40" s="62" t="n">
        <f aca="false">IF(P40="y","",C40)</f>
        <v>0.669861194029851</v>
      </c>
      <c r="N40" s="61" t="n">
        <f aca="false">MIN(5,N39+1)</f>
        <v>5</v>
      </c>
      <c r="O40" s="66" t="str">
        <f aca="false">IF(C40&gt;=G40,"Yes","No")</f>
        <v>No</v>
      </c>
      <c r="P40" s="57"/>
    </row>
    <row r="41" customFormat="false" ht="15" hidden="false" customHeight="true" outlineLevel="0" collapsed="false">
      <c r="A41" s="53" t="n">
        <f aca="false">'Raw-Data'!A3</f>
        <v>46222</v>
      </c>
      <c r="B41" s="5" t="n">
        <f aca="false">'Raw-Data'!B3</f>
        <v>199</v>
      </c>
      <c r="C41" s="7" t="n">
        <f aca="false">'Raw-Data'!D3</f>
        <v>0.815790452261307</v>
      </c>
      <c r="D41" s="7" t="n">
        <f aca="true">IF(NOT($K40),D40,AVERAGE(OFFSET($M40,-1*MAX($L40,N40),0):OFFSET($M40,0,0)))</f>
        <v>0.702323428036325</v>
      </c>
      <c r="E41" s="54" t="n">
        <f aca="true">IF(NOT($K40),E40,IFERROR(STDEV(OFFSET($M40,-1*MAX($L40,N40),0):OFFSET($M40,0,0)),E40))</f>
        <v>0.135568140174878</v>
      </c>
      <c r="F41" s="7" t="n">
        <f aca="false">MAX(0,D41-3*SQRT(D41*(1-D41)/B41))</f>
        <v>0.60508551656048</v>
      </c>
      <c r="G41" s="6" t="n">
        <v>0.9</v>
      </c>
      <c r="H41" s="55" t="n">
        <f aca="false">(C41-D41)/E41</f>
        <v>0.836974115589499</v>
      </c>
      <c r="I41" s="55" t="n">
        <f aca="false">IF(P41="y",I40,IF(K40,0,MAX(0,I40+H41-0.5)))</f>
        <v>2.05202692908085</v>
      </c>
      <c r="J41" s="55" t="n">
        <f aca="false">IF(P41="y",J40,IF(K40,0,MAX(0,J40-H41+0.5)))</f>
        <v>1.30960100462779</v>
      </c>
      <c r="K41" s="56" t="n">
        <f aca="false" t="array" ref="K41:K41">IFERROR(OR(ABS(I41)&gt;=4, ABS(J41)&gt;=4),FALSE())</f>
        <v>0</v>
      </c>
      <c r="L41" s="5" t="n">
        <f aca="false">IF(K40,0,L40+1)</f>
        <v>14</v>
      </c>
      <c r="M41" s="7" t="n">
        <f aca="false">IF(P41="y","",C41)</f>
        <v>0.815790452261307</v>
      </c>
      <c r="N41" s="5" t="n">
        <f aca="false">MIN(5,N40+1)</f>
        <v>5</v>
      </c>
      <c r="O41" s="5" t="str">
        <f aca="false">IF(C41&gt;=G41,"Yes","No")</f>
        <v>No</v>
      </c>
      <c r="P41" s="57"/>
    </row>
    <row r="44" customFormat="false" ht="15" hidden="false" customHeight="false" outlineLevel="0" collapsed="false">
      <c r="A44" s="70" t="s">
        <v>53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</row>
    <row r="46" customFormat="false" ht="15" hidden="false" customHeight="false" outlineLevel="0" collapsed="false">
      <c r="A46" s="71" t="s">
        <v>54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</row>
    <row r="47" customFormat="false" ht="15" hidden="false" customHeight="true" outlineLevel="0" collapsed="false">
      <c r="A47" s="72" t="s">
        <v>71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</row>
    <row r="50" customFormat="false" ht="15" hidden="false" customHeight="false" outlineLevel="0" collapsed="false">
      <c r="A50" s="71" t="s">
        <v>56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</row>
    <row r="51" customFormat="false" ht="15" hidden="false" customHeight="true" outlineLevel="0" collapsed="false">
      <c r="A51" s="72" t="s">
        <v>72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</row>
    <row r="52" customFormat="false" ht="15" hidden="false" customHeight="false" outlineLevel="0" collapsed="false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</row>
  </sheetData>
  <mergeCells count="8">
    <mergeCell ref="A1:O1"/>
    <mergeCell ref="A2:O2"/>
    <mergeCell ref="R4:S4"/>
    <mergeCell ref="A44:O44"/>
    <mergeCell ref="A46:O46"/>
    <mergeCell ref="A47:O47"/>
    <mergeCell ref="A50:O50"/>
    <mergeCell ref="A51:O52"/>
  </mergeCells>
  <conditionalFormatting sqref="K5:K41">
    <cfRule type="cellIs" priority="2" operator="equal" aboveAverage="0" equalAverage="0" bottom="0" percent="0" rank="0" text="" dxfId="0">
      <formula>1</formula>
    </cfRule>
  </conditionalFormatting>
  <conditionalFormatting sqref="O5:O41"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9" width="13"/>
    <col collapsed="false" customWidth="true" hidden="false" outlineLevel="0" max="2" min="2" style="49" width="14"/>
    <col collapsed="false" customWidth="true" hidden="false" outlineLevel="0" max="3" min="3" style="49" width="15"/>
    <col collapsed="false" customWidth="true" hidden="false" outlineLevel="0" max="4" min="4" style="49" width="12"/>
    <col collapsed="false" customWidth="true" hidden="false" outlineLevel="0" max="6" min="5" style="49" width="11"/>
    <col collapsed="false" customWidth="true" hidden="false" outlineLevel="0" max="8" min="7" style="49" width="10"/>
    <col collapsed="false" customWidth="true" hidden="false" outlineLevel="0" max="10" min="9" style="49" width="9"/>
    <col collapsed="false" customWidth="true" hidden="false" outlineLevel="0" max="11" min="11" style="49" width="14"/>
    <col collapsed="false" customWidth="true" hidden="false" outlineLevel="0" max="12" min="12" style="49" width="9"/>
    <col collapsed="false" customWidth="true" hidden="false" outlineLevel="0" max="13" min="13" style="49" width="15"/>
    <col collapsed="false" customWidth="true" hidden="false" outlineLevel="0" max="14" min="14" style="49" width="8"/>
    <col collapsed="false" customWidth="true" hidden="false" outlineLevel="0" max="15" min="15" style="49" width="13"/>
    <col collapsed="false" customWidth="true" hidden="false" outlineLevel="0" max="16" min="16" style="49" width="9"/>
    <col collapsed="false" customWidth="true" hidden="false" outlineLevel="0" max="18" min="18" style="49" width="30"/>
    <col collapsed="false" customWidth="true" hidden="false" outlineLevel="0" max="19" min="19" style="49" width="14"/>
  </cols>
  <sheetData>
    <row r="1" customFormat="false" ht="18" hidden="false" customHeight="true" outlineLevel="0" collapsed="false">
      <c r="A1" s="50" t="s">
        <v>73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customFormat="false" ht="15" hidden="false" customHeight="true" outlineLevel="0" collapsed="false">
      <c r="A2" s="51" t="s">
        <v>31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4" customFormat="false" ht="15" hidden="false" customHeight="true" outlineLevel="0" collapsed="false">
      <c r="A4" s="3" t="s">
        <v>20</v>
      </c>
      <c r="B4" s="3" t="s">
        <v>32</v>
      </c>
      <c r="C4" s="3" t="s">
        <v>74</v>
      </c>
      <c r="D4" s="3" t="s">
        <v>33</v>
      </c>
      <c r="E4" s="3" t="s">
        <v>34</v>
      </c>
      <c r="F4" s="3" t="s">
        <v>35</v>
      </c>
      <c r="G4" s="3" t="s">
        <v>4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R4" s="52" t="s">
        <v>45</v>
      </c>
      <c r="S4" s="52"/>
    </row>
    <row r="5" customFormat="false" ht="15" hidden="false" customHeight="true" outlineLevel="0" collapsed="false">
      <c r="A5" s="53" t="n">
        <f aca="false">'Raw-Data'!A39</f>
        <v>46186</v>
      </c>
      <c r="B5" s="5" t="n">
        <v>1</v>
      </c>
      <c r="C5" s="7" t="n">
        <f aca="false">'Raw-Data'!G39</f>
        <v>0.949</v>
      </c>
      <c r="D5" s="7" t="n">
        <v>0.9</v>
      </c>
      <c r="E5" s="54" t="n">
        <v>0.05</v>
      </c>
      <c r="F5" s="7" t="n">
        <f aca="false">MAX(0,D5-3*E5)</f>
        <v>0.75</v>
      </c>
      <c r="G5" s="6" t="n">
        <v>0.95</v>
      </c>
      <c r="H5" s="55" t="n">
        <f aca="false">(C5-D5)/E5</f>
        <v>0.979999999999999</v>
      </c>
      <c r="I5" s="55" t="n">
        <v>0</v>
      </c>
      <c r="J5" s="55" t="n">
        <v>0</v>
      </c>
      <c r="K5" s="56" t="n">
        <f aca="false" t="array" ref="K5:K5">IFERROR(OR(ABS(I5)&gt;=4, ABS(J5)&gt;=4),FALSE())</f>
        <v>0</v>
      </c>
      <c r="L5" s="5" t="n">
        <v>0</v>
      </c>
      <c r="M5" s="7" t="n">
        <f aca="false">IF(P5="y","",C5)</f>
        <v>0.949</v>
      </c>
      <c r="N5" s="5" t="n">
        <v>1</v>
      </c>
      <c r="O5" s="5" t="str">
        <f aca="false">IF(C5&gt;=G5,"Yes","No")</f>
        <v>No</v>
      </c>
      <c r="P5" s="57"/>
      <c r="R5" s="58" t="s">
        <v>4</v>
      </c>
      <c r="S5" s="59" t="n">
        <v>0.95</v>
      </c>
    </row>
    <row r="6" customFormat="false" ht="15" hidden="false" customHeight="true" outlineLevel="0" collapsed="false">
      <c r="A6" s="60" t="n">
        <f aca="false">'Raw-Data'!A38</f>
        <v>46187</v>
      </c>
      <c r="B6" s="61" t="n">
        <v>1</v>
      </c>
      <c r="C6" s="62" t="n">
        <f aca="false">'Raw-Data'!G38</f>
        <v>0.9451</v>
      </c>
      <c r="D6" s="62" t="n">
        <f aca="true">IF(NOT($K5),D5,AVERAGE(OFFSET($M5,-1*MAX($L5,N5),0):OFFSET($M5,0,0)))</f>
        <v>0.9</v>
      </c>
      <c r="E6" s="63" t="n">
        <f aca="true">IF(NOT($K5),E5,IFERROR(STDEV(OFFSET($M5,-1*MAX($L5,N5),0):OFFSET($M5,0,0)),E5))</f>
        <v>0.05</v>
      </c>
      <c r="F6" s="62" t="n">
        <f aca="false">MAX(0,D6-3*E6)</f>
        <v>0.75</v>
      </c>
      <c r="G6" s="64" t="n">
        <v>0.95</v>
      </c>
      <c r="H6" s="65" t="n">
        <f aca="false">(C6-D6)/E6</f>
        <v>0.902000000000001</v>
      </c>
      <c r="I6" s="65" t="n">
        <f aca="false">IF(P6="y",I5,IF(K5,0,MAX(0,I5+H6-0.5)))</f>
        <v>0.402000000000001</v>
      </c>
      <c r="J6" s="65" t="n">
        <f aca="false">IF(P6="y",J5,IF(K5,0,MAX(0,J5-H6+0.5)))</f>
        <v>0</v>
      </c>
      <c r="K6" s="61" t="n">
        <f aca="false" t="array" ref="K6:K6">IFERROR(OR(ABS(I6)&gt;=4, ABS(J6)&gt;=4),FALSE())</f>
        <v>0</v>
      </c>
      <c r="L6" s="61" t="n">
        <f aca="false">IF(K5,0,L5+1)</f>
        <v>1</v>
      </c>
      <c r="M6" s="62" t="n">
        <f aca="false">IF(P6="y","",C6)</f>
        <v>0.9451</v>
      </c>
      <c r="N6" s="61" t="n">
        <f aca="false">MIN(5,N5+1)</f>
        <v>2</v>
      </c>
      <c r="O6" s="66" t="str">
        <f aca="false">IF(C6&gt;=G6,"Yes","No")</f>
        <v>No</v>
      </c>
      <c r="P6" s="57"/>
      <c r="R6" s="58" t="s">
        <v>46</v>
      </c>
      <c r="S6" s="67" t="n">
        <v>37</v>
      </c>
    </row>
    <row r="7" customFormat="false" ht="15" hidden="false" customHeight="true" outlineLevel="0" collapsed="false">
      <c r="A7" s="53" t="n">
        <f aca="false">'Raw-Data'!A37</f>
        <v>46188</v>
      </c>
      <c r="B7" s="5" t="n">
        <v>1</v>
      </c>
      <c r="C7" s="7" t="n">
        <f aca="false">'Raw-Data'!G37</f>
        <v>0.9464</v>
      </c>
      <c r="D7" s="7" t="n">
        <f aca="true">IF(NOT($K6),D6,AVERAGE(OFFSET($M6,-1*MAX($L6,N6),0):OFFSET($M6,0,0)))</f>
        <v>0.9</v>
      </c>
      <c r="E7" s="54" t="n">
        <f aca="true">IF(NOT($K6),E6,IFERROR(STDEV(OFFSET($M6,-1*MAX($L6,N6),0):OFFSET($M6,0,0)),E6))</f>
        <v>0.05</v>
      </c>
      <c r="F7" s="7" t="n">
        <f aca="false">MAX(0,D7-3*E7)</f>
        <v>0.75</v>
      </c>
      <c r="G7" s="6" t="n">
        <v>0.95</v>
      </c>
      <c r="H7" s="55" t="n">
        <f aca="false">(C7-D7)/E7</f>
        <v>0.928</v>
      </c>
      <c r="I7" s="55" t="n">
        <f aca="false">IF(P7="y",I6,IF(K6,0,MAX(0,I6+H7-0.5)))</f>
        <v>0.830000000000001</v>
      </c>
      <c r="J7" s="55" t="n">
        <f aca="false">IF(P7="y",J6,IF(K6,0,MAX(0,J6-H7+0.5)))</f>
        <v>0</v>
      </c>
      <c r="K7" s="56" t="n">
        <f aca="false" t="array" ref="K7:K7">IFERROR(OR(ABS(I7)&gt;=4, ABS(J7)&gt;=4),FALSE())</f>
        <v>0</v>
      </c>
      <c r="L7" s="5" t="n">
        <f aca="false">IF(K6,0,L6+1)</f>
        <v>2</v>
      </c>
      <c r="M7" s="7" t="n">
        <f aca="false">IF(P7="y","",C7)</f>
        <v>0.9464</v>
      </c>
      <c r="N7" s="5" t="n">
        <f aca="false">MIN(5,N6+1)</f>
        <v>3</v>
      </c>
      <c r="O7" s="5" t="str">
        <f aca="false">IF(C7&gt;=G7,"Yes","No")</f>
        <v>No</v>
      </c>
      <c r="P7" s="57"/>
      <c r="R7" s="58" t="s">
        <v>47</v>
      </c>
      <c r="S7" s="67" t="n">
        <f aca="false">COUNTIF(K5:K41,TRUE())</f>
        <v>3</v>
      </c>
    </row>
    <row r="8" customFormat="false" ht="15" hidden="false" customHeight="true" outlineLevel="0" collapsed="false">
      <c r="A8" s="60" t="n">
        <f aca="false">'Raw-Data'!A36</f>
        <v>46189</v>
      </c>
      <c r="B8" s="61" t="n">
        <v>1</v>
      </c>
      <c r="C8" s="62" t="n">
        <f aca="false">'Raw-Data'!G36</f>
        <v>0.9419</v>
      </c>
      <c r="D8" s="62" t="n">
        <f aca="true">IF(NOT($K7),D7,AVERAGE(OFFSET($M7,-1*MAX($L7,N7),0):OFFSET($M7,0,0)))</f>
        <v>0.9</v>
      </c>
      <c r="E8" s="63" t="n">
        <f aca="true">IF(NOT($K7),E7,IFERROR(STDEV(OFFSET($M7,-1*MAX($L7,N7),0):OFFSET($M7,0,0)),E7))</f>
        <v>0.05</v>
      </c>
      <c r="F8" s="62" t="n">
        <f aca="false">MAX(0,D8-3*E8)</f>
        <v>0.75</v>
      </c>
      <c r="G8" s="64" t="n">
        <v>0.95</v>
      </c>
      <c r="H8" s="65" t="n">
        <f aca="false">(C8-D8)/E8</f>
        <v>0.837999999999999</v>
      </c>
      <c r="I8" s="65" t="n">
        <f aca="false">IF(P8="y",I7,IF(K7,0,MAX(0,I7+H8-0.5)))</f>
        <v>1.168</v>
      </c>
      <c r="J8" s="65" t="n">
        <f aca="false">IF(P8="y",J7,IF(K7,0,MAX(0,J7-H8+0.5)))</f>
        <v>0</v>
      </c>
      <c r="K8" s="61" t="n">
        <f aca="false" t="array" ref="K8:K8">IFERROR(OR(ABS(I8)&gt;=4, ABS(J8)&gt;=4),FALSE())</f>
        <v>0</v>
      </c>
      <c r="L8" s="61" t="n">
        <f aca="false">IF(K7,0,L7+1)</f>
        <v>3</v>
      </c>
      <c r="M8" s="62" t="n">
        <f aca="false">IF(P8="y","",C8)</f>
        <v>0.9419</v>
      </c>
      <c r="N8" s="61" t="n">
        <f aca="false">MIN(5,N7+1)</f>
        <v>4</v>
      </c>
      <c r="O8" s="66" t="str">
        <f aca="false">IF(C8&gt;=G8,"Yes","No")</f>
        <v>No</v>
      </c>
      <c r="P8" s="57"/>
      <c r="R8" s="58" t="s">
        <v>48</v>
      </c>
      <c r="S8" s="68" t="str">
        <f aca="false">COUNTIF(O5:O41,"Yes")&amp;"/"&amp;37</f>
        <v>17/37</v>
      </c>
    </row>
    <row r="9" customFormat="false" ht="15" hidden="false" customHeight="true" outlineLevel="0" collapsed="false">
      <c r="A9" s="53" t="n">
        <f aca="false">'Raw-Data'!A35</f>
        <v>46190</v>
      </c>
      <c r="B9" s="5" t="n">
        <v>1</v>
      </c>
      <c r="C9" s="7" t="n">
        <f aca="false">'Raw-Data'!G35</f>
        <v>0.9446</v>
      </c>
      <c r="D9" s="7" t="n">
        <f aca="true">IF(NOT($K8),D8,AVERAGE(OFFSET($M8,-1*MAX($L8,N8),0):OFFSET($M8,0,0)))</f>
        <v>0.9</v>
      </c>
      <c r="E9" s="54" t="n">
        <f aca="true">IF(NOT($K8),E8,IFERROR(STDEV(OFFSET($M8,-1*MAX($L8,N8),0):OFFSET($M8,0,0)),E8))</f>
        <v>0.05</v>
      </c>
      <c r="F9" s="7" t="n">
        <f aca="false">MAX(0,D9-3*E9)</f>
        <v>0.75</v>
      </c>
      <c r="G9" s="6" t="n">
        <v>0.95</v>
      </c>
      <c r="H9" s="55" t="n">
        <f aca="false">(C9-D9)/E9</f>
        <v>0.892</v>
      </c>
      <c r="I9" s="55" t="n">
        <f aca="false">IF(P9="y",I8,IF(K8,0,MAX(0,I8+H9-0.5)))</f>
        <v>1.56</v>
      </c>
      <c r="J9" s="55" t="n">
        <f aca="false">IF(P9="y",J8,IF(K8,0,MAX(0,J8-H9+0.5)))</f>
        <v>0</v>
      </c>
      <c r="K9" s="56" t="n">
        <f aca="false" t="array" ref="K9:K9">IFERROR(OR(ABS(I9)&gt;=4, ABS(J9)&gt;=4),FALSE())</f>
        <v>0</v>
      </c>
      <c r="L9" s="5" t="n">
        <f aca="false">IF(K8,0,L8+1)</f>
        <v>4</v>
      </c>
      <c r="M9" s="7" t="n">
        <f aca="false">IF(P9="y","",C9)</f>
        <v>0.9446</v>
      </c>
      <c r="N9" s="5" t="n">
        <f aca="false">MIN(5,N8+1)</f>
        <v>5</v>
      </c>
      <c r="O9" s="5" t="str">
        <f aca="false">IF(C9&gt;=G9,"Yes","No")</f>
        <v>No</v>
      </c>
      <c r="P9" s="57"/>
      <c r="R9" s="58" t="s">
        <v>49</v>
      </c>
      <c r="S9" s="69" t="n">
        <f aca="false">AVERAGE(C5:C41)</f>
        <v>0.948527027027027</v>
      </c>
    </row>
    <row r="10" customFormat="false" ht="15" hidden="false" customHeight="true" outlineLevel="0" collapsed="false">
      <c r="A10" s="60" t="n">
        <f aca="false">'Raw-Data'!A34</f>
        <v>46191</v>
      </c>
      <c r="B10" s="61" t="n">
        <v>1</v>
      </c>
      <c r="C10" s="62" t="n">
        <f aca="false">'Raw-Data'!G34</f>
        <v>0.956</v>
      </c>
      <c r="D10" s="62" t="n">
        <f aca="true">IF(NOT($K9),D9,AVERAGE(OFFSET($M9,-1*MAX($L9,N9),0):OFFSET($M9,0,0)))</f>
        <v>0.9</v>
      </c>
      <c r="E10" s="63" t="n">
        <f aca="true">IF(NOT($K9),E9,IFERROR(STDEV(OFFSET($M9,-1*MAX($L9,N9),0):OFFSET($M9,0,0)),E9))</f>
        <v>0.05</v>
      </c>
      <c r="F10" s="62" t="n">
        <f aca="false">MAX(0,D10-3*E10)</f>
        <v>0.75</v>
      </c>
      <c r="G10" s="64" t="n">
        <v>0.95</v>
      </c>
      <c r="H10" s="65" t="n">
        <f aca="false">(C10-D10)/E10</f>
        <v>1.12</v>
      </c>
      <c r="I10" s="65" t="n">
        <f aca="false">IF(P10="y",I9,IF(K9,0,MAX(0,I9+H10-0.5)))</f>
        <v>2.18</v>
      </c>
      <c r="J10" s="65" t="n">
        <f aca="false">IF(P10="y",J9,IF(K9,0,MAX(0,J9-H10+0.5)))</f>
        <v>0</v>
      </c>
      <c r="K10" s="61" t="n">
        <f aca="false" t="array" ref="K10:K10">IFERROR(OR(ABS(I10)&gt;=4, ABS(J10)&gt;=4),FALSE())</f>
        <v>0</v>
      </c>
      <c r="L10" s="61" t="n">
        <f aca="false">IF(K9,0,L9+1)</f>
        <v>5</v>
      </c>
      <c r="M10" s="62" t="n">
        <f aca="false">IF(P10="y","",C10)</f>
        <v>0.956</v>
      </c>
      <c r="N10" s="61" t="n">
        <f aca="false">MIN(5,N9+1)</f>
        <v>5</v>
      </c>
      <c r="O10" s="66" t="str">
        <f aca="false">IF(C10&gt;=G10,"Yes","No")</f>
        <v>Yes</v>
      </c>
      <c r="P10" s="57"/>
      <c r="R10" s="58" t="s">
        <v>50</v>
      </c>
      <c r="S10" s="69" t="n">
        <f aca="false">AVERAGE(C5:C41)-G5</f>
        <v>-0.00147297297297289</v>
      </c>
    </row>
    <row r="11" customFormat="false" ht="15" hidden="false" customHeight="true" outlineLevel="0" collapsed="false">
      <c r="A11" s="53" t="n">
        <f aca="false">'Raw-Data'!A33</f>
        <v>46192</v>
      </c>
      <c r="B11" s="5" t="n">
        <v>1</v>
      </c>
      <c r="C11" s="7" t="n">
        <f aca="false">'Raw-Data'!G33</f>
        <v>0.9516</v>
      </c>
      <c r="D11" s="7" t="n">
        <f aca="true">IF(NOT($K10),D10,AVERAGE(OFFSET($M10,-1*MAX($L10,N10),0):OFFSET($M10,0,0)))</f>
        <v>0.9</v>
      </c>
      <c r="E11" s="54" t="n">
        <f aca="true">IF(NOT($K10),E10,IFERROR(STDEV(OFFSET($M10,-1*MAX($L10,N10),0):OFFSET($M10,0,0)),E10))</f>
        <v>0.05</v>
      </c>
      <c r="F11" s="7" t="n">
        <f aca="false">MAX(0,D11-3*E11)</f>
        <v>0.75</v>
      </c>
      <c r="G11" s="6" t="n">
        <v>0.95</v>
      </c>
      <c r="H11" s="55" t="n">
        <f aca="false">(C11-D11)/E11</f>
        <v>1.032</v>
      </c>
      <c r="I11" s="55" t="n">
        <f aca="false">IF(P11="y",I10,IF(K10,0,MAX(0,I10+H11-0.5)))</f>
        <v>2.712</v>
      </c>
      <c r="J11" s="55" t="n">
        <f aca="false">IF(P11="y",J10,IF(K10,0,MAX(0,J10-H11+0.5)))</f>
        <v>0</v>
      </c>
      <c r="K11" s="56" t="n">
        <f aca="false" t="array" ref="K11:K11">IFERROR(OR(ABS(I11)&gt;=4, ABS(J11)&gt;=4),FALSE())</f>
        <v>0</v>
      </c>
      <c r="L11" s="5" t="n">
        <f aca="false">IF(K10,0,L10+1)</f>
        <v>6</v>
      </c>
      <c r="M11" s="7" t="n">
        <f aca="false">IF(P11="y","",C11)</f>
        <v>0.9516</v>
      </c>
      <c r="N11" s="5" t="n">
        <f aca="false">MIN(5,N10+1)</f>
        <v>5</v>
      </c>
      <c r="O11" s="5" t="str">
        <f aca="false">IF(C11&gt;=G11,"Yes","No")</f>
        <v>Yes</v>
      </c>
      <c r="P11" s="57"/>
      <c r="R11" s="58" t="s">
        <v>51</v>
      </c>
      <c r="S11" s="69" t="n">
        <f aca="false">D41</f>
        <v>0.94415</v>
      </c>
    </row>
    <row r="12" customFormat="false" ht="15" hidden="false" customHeight="true" outlineLevel="0" collapsed="false">
      <c r="A12" s="60" t="n">
        <f aca="false">'Raw-Data'!A32</f>
        <v>46193</v>
      </c>
      <c r="B12" s="61" t="n">
        <v>1</v>
      </c>
      <c r="C12" s="62" t="n">
        <f aca="false">'Raw-Data'!G32</f>
        <v>0.9531</v>
      </c>
      <c r="D12" s="62" t="n">
        <f aca="true">IF(NOT($K11),D11,AVERAGE(OFFSET($M11,-1*MAX($L11,N11),0):OFFSET($M11,0,0)))</f>
        <v>0.9</v>
      </c>
      <c r="E12" s="63" t="n">
        <f aca="true">IF(NOT($K11),E11,IFERROR(STDEV(OFFSET($M11,-1*MAX($L11,N11),0):OFFSET($M11,0,0)),E11))</f>
        <v>0.05</v>
      </c>
      <c r="F12" s="62" t="n">
        <f aca="false">MAX(0,D12-3*E12)</f>
        <v>0.75</v>
      </c>
      <c r="G12" s="64" t="n">
        <v>0.95</v>
      </c>
      <c r="H12" s="65" t="n">
        <f aca="false">(C12-D12)/E12</f>
        <v>1.062</v>
      </c>
      <c r="I12" s="65" t="n">
        <f aca="false">IF(P12="y",I11,IF(K11,0,MAX(0,I11+H12-0.5)))</f>
        <v>3.274</v>
      </c>
      <c r="J12" s="65" t="n">
        <f aca="false">IF(P12="y",J11,IF(K11,0,MAX(0,J11-H12+0.5)))</f>
        <v>0</v>
      </c>
      <c r="K12" s="61" t="n">
        <f aca="false" t="array" ref="K12:K12">IFERROR(OR(ABS(I12)&gt;=4, ABS(J12)&gt;=4),FALSE())</f>
        <v>0</v>
      </c>
      <c r="L12" s="61" t="n">
        <f aca="false">IF(K11,0,L11+1)</f>
        <v>7</v>
      </c>
      <c r="M12" s="62" t="n">
        <f aca="false">IF(P12="y","",C12)</f>
        <v>0.9531</v>
      </c>
      <c r="N12" s="61" t="n">
        <f aca="false">MIN(5,N11+1)</f>
        <v>5</v>
      </c>
      <c r="O12" s="66" t="str">
        <f aca="false">IF(C12&gt;=G12,"Yes","No")</f>
        <v>Yes</v>
      </c>
      <c r="P12" s="57"/>
      <c r="R12" s="58" t="s">
        <v>52</v>
      </c>
      <c r="S12" s="69" t="n">
        <f aca="false">F41</f>
        <v>0.913587228528813</v>
      </c>
    </row>
    <row r="13" customFormat="false" ht="15" hidden="false" customHeight="true" outlineLevel="0" collapsed="false">
      <c r="A13" s="53" t="n">
        <f aca="false">'Raw-Data'!A31</f>
        <v>46194</v>
      </c>
      <c r="B13" s="5" t="n">
        <v>1</v>
      </c>
      <c r="C13" s="7" t="n">
        <f aca="false">'Raw-Data'!G31</f>
        <v>0.9418</v>
      </c>
      <c r="D13" s="7" t="n">
        <f aca="true">IF(NOT($K12),D12,AVERAGE(OFFSET($M12,-1*MAX($L12,N12),0):OFFSET($M12,0,0)))</f>
        <v>0.9</v>
      </c>
      <c r="E13" s="54" t="n">
        <f aca="true">IF(NOT($K12),E12,IFERROR(STDEV(OFFSET($M12,-1*MAX($L12,N12),0):OFFSET($M12,0,0)),E12))</f>
        <v>0.05</v>
      </c>
      <c r="F13" s="7" t="n">
        <f aca="false">MAX(0,D13-3*E13)</f>
        <v>0.75</v>
      </c>
      <c r="G13" s="6" t="n">
        <v>0.95</v>
      </c>
      <c r="H13" s="55" t="n">
        <f aca="false">(C13-D13)/E13</f>
        <v>0.835999999999999</v>
      </c>
      <c r="I13" s="55" t="n">
        <f aca="false">IF(P13="y",I12,IF(K12,0,MAX(0,I12+H13-0.5)))</f>
        <v>3.60999999999999</v>
      </c>
      <c r="J13" s="55" t="n">
        <f aca="false">IF(P13="y",J12,IF(K12,0,MAX(0,J12-H13+0.5)))</f>
        <v>0</v>
      </c>
      <c r="K13" s="56" t="n">
        <f aca="false" t="array" ref="K13:K13">IFERROR(OR(ABS(I13)&gt;=4, ABS(J13)&gt;=4),FALSE())</f>
        <v>0</v>
      </c>
      <c r="L13" s="5" t="n">
        <f aca="false">IF(K12,0,L12+1)</f>
        <v>8</v>
      </c>
      <c r="M13" s="7" t="n">
        <f aca="false">IF(P13="y","",C13)</f>
        <v>0.9418</v>
      </c>
      <c r="N13" s="5" t="n">
        <f aca="false">MIN(5,N12+1)</f>
        <v>5</v>
      </c>
      <c r="O13" s="5" t="str">
        <f aca="false">IF(C13&gt;=G13,"Yes","No")</f>
        <v>No</v>
      </c>
      <c r="P13" s="57"/>
    </row>
    <row r="14" customFormat="false" ht="15" hidden="false" customHeight="true" outlineLevel="0" collapsed="false">
      <c r="A14" s="60" t="n">
        <f aca="false">'Raw-Data'!A30</f>
        <v>46195</v>
      </c>
      <c r="B14" s="61" t="n">
        <v>1</v>
      </c>
      <c r="C14" s="62" t="n">
        <f aca="false">'Raw-Data'!G30</f>
        <v>0.9572</v>
      </c>
      <c r="D14" s="62" t="n">
        <f aca="true">IF(NOT($K13),D13,AVERAGE(OFFSET($M13,-1*MAX($L13,N13),0):OFFSET($M13,0,0)))</f>
        <v>0.9</v>
      </c>
      <c r="E14" s="63" t="n">
        <f aca="true">IF(NOT($K13),E13,IFERROR(STDEV(OFFSET($M13,-1*MAX($L13,N13),0):OFFSET($M13,0,0)),E13))</f>
        <v>0.05</v>
      </c>
      <c r="F14" s="62" t="n">
        <f aca="false">MAX(0,D14-3*E14)</f>
        <v>0.75</v>
      </c>
      <c r="G14" s="64" t="n">
        <v>0.95</v>
      </c>
      <c r="H14" s="65" t="n">
        <f aca="false">(C14-D14)/E14</f>
        <v>1.144</v>
      </c>
      <c r="I14" s="65" t="n">
        <f aca="false">IF(P14="y",I13,IF(K13,0,MAX(0,I13+H14-0.5)))</f>
        <v>4.25399999999999</v>
      </c>
      <c r="J14" s="65" t="n">
        <f aca="false">IF(P14="y",J13,IF(K13,0,MAX(0,J13-H14+0.5)))</f>
        <v>0</v>
      </c>
      <c r="K14" s="61" t="n">
        <f aca="false" t="array" ref="K14:K14">IFERROR(OR(ABS(I14)&gt;=4, ABS(J14)&gt;=4),FALSE())</f>
        <v>1</v>
      </c>
      <c r="L14" s="61" t="n">
        <f aca="false">IF(K13,0,L13+1)</f>
        <v>9</v>
      </c>
      <c r="M14" s="62" t="n">
        <f aca="false">IF(P14="y","",C14)</f>
        <v>0.9572</v>
      </c>
      <c r="N14" s="61" t="n">
        <f aca="false">MIN(5,N13+1)</f>
        <v>5</v>
      </c>
      <c r="O14" s="66" t="str">
        <f aca="false">IF(C14&gt;=G14,"Yes","No")</f>
        <v>Yes</v>
      </c>
      <c r="P14" s="57"/>
    </row>
    <row r="15" customFormat="false" ht="15" hidden="false" customHeight="true" outlineLevel="0" collapsed="false">
      <c r="A15" s="53" t="n">
        <f aca="false">'Raw-Data'!A29</f>
        <v>46196</v>
      </c>
      <c r="B15" s="5" t="n">
        <v>1</v>
      </c>
      <c r="C15" s="7" t="n">
        <f aca="false">'Raw-Data'!G29</f>
        <v>0.9546</v>
      </c>
      <c r="D15" s="7" t="n">
        <f aca="true">IF(NOT($K14),D14,AVERAGE(OFFSET($M14,-1*MAX($L14,N14),0):OFFSET($M14,0,0)))</f>
        <v>0.94867</v>
      </c>
      <c r="E15" s="54" t="n">
        <f aca="true">IF(NOT($K14),E14,IFERROR(STDEV(OFFSET($M14,-1*MAX($L14,N14),0):OFFSET($M14,0,0)),E14))</f>
        <v>0.00560060512603574</v>
      </c>
      <c r="F15" s="7" t="n">
        <f aca="false">MAX(0,D15-3*E15)</f>
        <v>0.931868184621893</v>
      </c>
      <c r="G15" s="6" t="n">
        <v>0.95</v>
      </c>
      <c r="H15" s="55" t="n">
        <f aca="false">(C15-D15)/E15</f>
        <v>1.05881415785467</v>
      </c>
      <c r="I15" s="55" t="n">
        <f aca="false">IF(P15="y",I14,IF(K14,0,MAX(0,I14+H15-0.5)))</f>
        <v>0</v>
      </c>
      <c r="J15" s="55" t="n">
        <f aca="false">IF(P15="y",J14,IF(K14,0,MAX(0,J14-H15+0.5)))</f>
        <v>0</v>
      </c>
      <c r="K15" s="56" t="n">
        <f aca="false" t="array" ref="K15:K15">IFERROR(OR(ABS(I15)&gt;=4, ABS(J15)&gt;=4),FALSE())</f>
        <v>0</v>
      </c>
      <c r="L15" s="5" t="n">
        <f aca="false">IF(K14,0,L14+1)</f>
        <v>0</v>
      </c>
      <c r="M15" s="7" t="n">
        <f aca="false">IF(P15="y","",C15)</f>
        <v>0.9546</v>
      </c>
      <c r="N15" s="5" t="n">
        <f aca="false">MIN(5,N14+1)</f>
        <v>5</v>
      </c>
      <c r="O15" s="5" t="str">
        <f aca="false">IF(C15&gt;=G15,"Yes","No")</f>
        <v>Yes</v>
      </c>
      <c r="P15" s="57"/>
    </row>
    <row r="16" customFormat="false" ht="15" hidden="false" customHeight="true" outlineLevel="0" collapsed="false">
      <c r="A16" s="60" t="n">
        <f aca="false">'Raw-Data'!A28</f>
        <v>46197</v>
      </c>
      <c r="B16" s="61" t="n">
        <v>1</v>
      </c>
      <c r="C16" s="62" t="n">
        <f aca="false">'Raw-Data'!G28</f>
        <v>0.9426</v>
      </c>
      <c r="D16" s="62" t="n">
        <f aca="true">IF(NOT($K15),D15,AVERAGE(OFFSET($M15,-1*MAX($L15,N15),0):OFFSET($M15,0,0)))</f>
        <v>0.94867</v>
      </c>
      <c r="E16" s="63" t="n">
        <f aca="true">IF(NOT($K15),E15,IFERROR(STDEV(OFFSET($M15,-1*MAX($L15,N15),0):OFFSET($M15,0,0)),E15))</f>
        <v>0.00560060512603574</v>
      </c>
      <c r="F16" s="62" t="n">
        <f aca="false">MAX(0,D16-3*E16)</f>
        <v>0.931868184621893</v>
      </c>
      <c r="G16" s="64" t="n">
        <v>0.95</v>
      </c>
      <c r="H16" s="65" t="n">
        <f aca="false">(C16-D16)/E16</f>
        <v>-1.08381145669101</v>
      </c>
      <c r="I16" s="65" t="n">
        <f aca="false">IF(P16="y",I15,IF(K15,0,MAX(0,I15+H16-0.5)))</f>
        <v>0</v>
      </c>
      <c r="J16" s="65" t="n">
        <f aca="false">IF(P16="y",J15,IF(K15,0,MAX(0,J15-H16+0.5)))</f>
        <v>1.58381145669101</v>
      </c>
      <c r="K16" s="61" t="n">
        <f aca="false" t="array" ref="K16:K16">IFERROR(OR(ABS(I16)&gt;=4, ABS(J16)&gt;=4),FALSE())</f>
        <v>0</v>
      </c>
      <c r="L16" s="61" t="n">
        <f aca="false">IF(K15,0,L15+1)</f>
        <v>1</v>
      </c>
      <c r="M16" s="62" t="n">
        <f aca="false">IF(P16="y","",C16)</f>
        <v>0.9426</v>
      </c>
      <c r="N16" s="61" t="n">
        <f aca="false">MIN(5,N15+1)</f>
        <v>5</v>
      </c>
      <c r="O16" s="66" t="str">
        <f aca="false">IF(C16&gt;=G16,"Yes","No")</f>
        <v>No</v>
      </c>
      <c r="P16" s="57"/>
    </row>
    <row r="17" customFormat="false" ht="15" hidden="false" customHeight="true" outlineLevel="0" collapsed="false">
      <c r="A17" s="53" t="n">
        <f aca="false">'Raw-Data'!A27</f>
        <v>46198</v>
      </c>
      <c r="B17" s="5" t="n">
        <v>1</v>
      </c>
      <c r="C17" s="7" t="n">
        <f aca="false">'Raw-Data'!G27</f>
        <v>0.9545</v>
      </c>
      <c r="D17" s="7" t="n">
        <f aca="true">IF(NOT($K16),D16,AVERAGE(OFFSET($M16,-1*MAX($L16,N16),0):OFFSET($M16,0,0)))</f>
        <v>0.94867</v>
      </c>
      <c r="E17" s="54" t="n">
        <f aca="true">IF(NOT($K16),E16,IFERROR(STDEV(OFFSET($M16,-1*MAX($L16,N16),0):OFFSET($M16,0,0)),E16))</f>
        <v>0.00560060512603574</v>
      </c>
      <c r="F17" s="7" t="n">
        <f aca="false">MAX(0,D17-3*E17)</f>
        <v>0.931868184621893</v>
      </c>
      <c r="G17" s="6" t="n">
        <v>0.95</v>
      </c>
      <c r="H17" s="55" t="n">
        <f aca="false">(C17-D17)/E17</f>
        <v>1.04095894440013</v>
      </c>
      <c r="I17" s="55" t="n">
        <f aca="false">IF(P17="y",I16,IF(K16,0,MAX(0,I16+H17-0.5)))</f>
        <v>0.540958944400128</v>
      </c>
      <c r="J17" s="55" t="n">
        <f aca="false">IF(P17="y",J16,IF(K16,0,MAX(0,J16-H17+0.5)))</f>
        <v>1.04285251229088</v>
      </c>
      <c r="K17" s="56" t="n">
        <f aca="false" t="array" ref="K17:K17">IFERROR(OR(ABS(I17)&gt;=4, ABS(J17)&gt;=4),FALSE())</f>
        <v>0</v>
      </c>
      <c r="L17" s="5" t="n">
        <f aca="false">IF(K16,0,L16+1)</f>
        <v>2</v>
      </c>
      <c r="M17" s="7" t="n">
        <f aca="false">IF(P17="y","",C17)</f>
        <v>0.9545</v>
      </c>
      <c r="N17" s="5" t="n">
        <f aca="false">MIN(5,N16+1)</f>
        <v>5</v>
      </c>
      <c r="O17" s="5" t="str">
        <f aca="false">IF(C17&gt;=G17,"Yes","No")</f>
        <v>Yes</v>
      </c>
      <c r="P17" s="57"/>
    </row>
    <row r="18" customFormat="false" ht="15" hidden="false" customHeight="true" outlineLevel="0" collapsed="false">
      <c r="A18" s="60" t="n">
        <f aca="false">'Raw-Data'!A26</f>
        <v>46199</v>
      </c>
      <c r="B18" s="61" t="n">
        <v>1</v>
      </c>
      <c r="C18" s="62" t="n">
        <f aca="false">'Raw-Data'!G26</f>
        <v>0.9423</v>
      </c>
      <c r="D18" s="62" t="n">
        <f aca="true">IF(NOT($K17),D17,AVERAGE(OFFSET($M17,-1*MAX($L17,N17),0):OFFSET($M17,0,0)))</f>
        <v>0.94867</v>
      </c>
      <c r="E18" s="63" t="n">
        <f aca="true">IF(NOT($K17),E17,IFERROR(STDEV(OFFSET($M17,-1*MAX($L17,N17),0):OFFSET($M17,0,0)),E17))</f>
        <v>0.00560060512603574</v>
      </c>
      <c r="F18" s="62" t="n">
        <f aca="false">MAX(0,D18-3*E18)</f>
        <v>0.931868184621893</v>
      </c>
      <c r="G18" s="64" t="n">
        <v>0.95</v>
      </c>
      <c r="H18" s="65" t="n">
        <f aca="false">(C18-D18)/E18</f>
        <v>-1.13737709705464</v>
      </c>
      <c r="I18" s="65" t="n">
        <f aca="false">IF(P18="y",I17,IF(K17,0,MAX(0,I17+H18-0.5)))</f>
        <v>0</v>
      </c>
      <c r="J18" s="65" t="n">
        <f aca="false">IF(P18="y",J17,IF(K17,0,MAX(0,J17-H18+0.5)))</f>
        <v>2.68022960934552</v>
      </c>
      <c r="K18" s="61" t="n">
        <f aca="false" t="array" ref="K18:K18">IFERROR(OR(ABS(I18)&gt;=4, ABS(J18)&gt;=4),FALSE())</f>
        <v>0</v>
      </c>
      <c r="L18" s="61" t="n">
        <f aca="false">IF(K17,0,L17+1)</f>
        <v>3</v>
      </c>
      <c r="M18" s="62" t="n">
        <f aca="false">IF(P18="y","",C18)</f>
        <v>0.9423</v>
      </c>
      <c r="N18" s="61" t="n">
        <f aca="false">MIN(5,N17+1)</f>
        <v>5</v>
      </c>
      <c r="O18" s="66" t="str">
        <f aca="false">IF(C18&gt;=G18,"Yes","No")</f>
        <v>No</v>
      </c>
      <c r="P18" s="57"/>
    </row>
    <row r="19" customFormat="false" ht="15" hidden="false" customHeight="true" outlineLevel="0" collapsed="false">
      <c r="A19" s="53" t="n">
        <f aca="false">'Raw-Data'!A25</f>
        <v>46200</v>
      </c>
      <c r="B19" s="5" t="n">
        <v>1</v>
      </c>
      <c r="C19" s="7" t="n">
        <f aca="false">'Raw-Data'!G25</f>
        <v>0.9482</v>
      </c>
      <c r="D19" s="7" t="n">
        <f aca="true">IF(NOT($K18),D18,AVERAGE(OFFSET($M18,-1*MAX($L18,N18),0):OFFSET($M18,0,0)))</f>
        <v>0.94867</v>
      </c>
      <c r="E19" s="54" t="n">
        <f aca="true">IF(NOT($K18),E18,IFERROR(STDEV(OFFSET($M18,-1*MAX($L18,N18),0):OFFSET($M18,0,0)),E18))</f>
        <v>0.00560060512603574</v>
      </c>
      <c r="F19" s="7" t="n">
        <f aca="false">MAX(0,D19-3*E19)</f>
        <v>0.931868184621893</v>
      </c>
      <c r="G19" s="6" t="n">
        <v>0.95</v>
      </c>
      <c r="H19" s="55" t="n">
        <f aca="false">(C19-D19)/E19</f>
        <v>-0.0839195032363473</v>
      </c>
      <c r="I19" s="55" t="n">
        <f aca="false">IF(P19="y",I18,IF(K18,0,MAX(0,I18+H19-0.5)))</f>
        <v>0</v>
      </c>
      <c r="J19" s="55" t="n">
        <f aca="false">IF(P19="y",J18,IF(K18,0,MAX(0,J18-H19+0.5)))</f>
        <v>3.26414911258187</v>
      </c>
      <c r="K19" s="56" t="n">
        <f aca="false" t="array" ref="K19:K19">IFERROR(OR(ABS(I19)&gt;=4, ABS(J19)&gt;=4),FALSE())</f>
        <v>0</v>
      </c>
      <c r="L19" s="5" t="n">
        <f aca="false">IF(K18,0,L18+1)</f>
        <v>4</v>
      </c>
      <c r="M19" s="7" t="n">
        <f aca="false">IF(P19="y","",C19)</f>
        <v>0.9482</v>
      </c>
      <c r="N19" s="5" t="n">
        <f aca="false">MIN(5,N18+1)</f>
        <v>5</v>
      </c>
      <c r="O19" s="5" t="str">
        <f aca="false">IF(C19&gt;=G19,"Yes","No")</f>
        <v>No</v>
      </c>
      <c r="P19" s="57"/>
    </row>
    <row r="20" customFormat="false" ht="15" hidden="false" customHeight="true" outlineLevel="0" collapsed="false">
      <c r="A20" s="60" t="n">
        <f aca="false">'Raw-Data'!A24</f>
        <v>46201</v>
      </c>
      <c r="B20" s="61" t="n">
        <v>1</v>
      </c>
      <c r="C20" s="62" t="n">
        <f aca="false">'Raw-Data'!G24</f>
        <v>0.9368</v>
      </c>
      <c r="D20" s="62" t="n">
        <f aca="true">IF(NOT($K19),D19,AVERAGE(OFFSET($M19,-1*MAX($L19,N19),0):OFFSET($M19,0,0)))</f>
        <v>0.94867</v>
      </c>
      <c r="E20" s="63" t="n">
        <f aca="true">IF(NOT($K19),E19,IFERROR(STDEV(OFFSET($M19,-1*MAX($L19,N19),0):OFFSET($M19,0,0)),E19))</f>
        <v>0.00560060512603574</v>
      </c>
      <c r="F20" s="62" t="n">
        <f aca="false">MAX(0,D20-3*E20)</f>
        <v>0.931868184621893</v>
      </c>
      <c r="G20" s="64" t="n">
        <v>0.95</v>
      </c>
      <c r="H20" s="65" t="n">
        <f aca="false">(C20-D20)/E20</f>
        <v>-2.11941383705475</v>
      </c>
      <c r="I20" s="65" t="n">
        <f aca="false">IF(P20="y",I19,IF(K19,0,MAX(0,I19+H20-0.5)))</f>
        <v>0</v>
      </c>
      <c r="J20" s="65" t="n">
        <f aca="false">IF(P20="y",J19,IF(K19,0,MAX(0,J19-H20+0.5)))</f>
        <v>5.88356294963662</v>
      </c>
      <c r="K20" s="61" t="n">
        <f aca="false" t="array" ref="K20:K20">IFERROR(OR(ABS(I20)&gt;=4, ABS(J20)&gt;=4),FALSE())</f>
        <v>1</v>
      </c>
      <c r="L20" s="61" t="n">
        <f aca="false">IF(K19,0,L19+1)</f>
        <v>5</v>
      </c>
      <c r="M20" s="62" t="n">
        <f aca="false">IF(P20="y","",C20)</f>
        <v>0.9368</v>
      </c>
      <c r="N20" s="61" t="n">
        <f aca="false">MIN(5,N19+1)</f>
        <v>5</v>
      </c>
      <c r="O20" s="66" t="str">
        <f aca="false">IF(C20&gt;=G20,"Yes","No")</f>
        <v>No</v>
      </c>
      <c r="P20" s="57"/>
    </row>
    <row r="21" customFormat="false" ht="15" hidden="false" customHeight="true" outlineLevel="0" collapsed="false">
      <c r="A21" s="53" t="n">
        <f aca="false">'Raw-Data'!A23</f>
        <v>46202</v>
      </c>
      <c r="B21" s="5" t="n">
        <v>1</v>
      </c>
      <c r="C21" s="7" t="n">
        <f aca="false">'Raw-Data'!G23</f>
        <v>0.9502</v>
      </c>
      <c r="D21" s="7" t="n">
        <f aca="true">IF(NOT($K20),D20,AVERAGE(OFFSET($M20,-1*MAX($L20,N20),0):OFFSET($M20,0,0)))</f>
        <v>0.9465</v>
      </c>
      <c r="E21" s="54" t="n">
        <f aca="true">IF(NOT($K20),E20,IFERROR(STDEV(OFFSET($M20,-1*MAX($L20,N20),0):OFFSET($M20,0,0)),E20))</f>
        <v>0.00720333256208543</v>
      </c>
      <c r="F21" s="7" t="n">
        <f aca="false">MAX(0,D21-3*E21)</f>
        <v>0.924890002313744</v>
      </c>
      <c r="G21" s="6" t="n">
        <v>0.95</v>
      </c>
      <c r="H21" s="55" t="n">
        <f aca="false">(C21-D21)/E21</f>
        <v>0.513651142455216</v>
      </c>
      <c r="I21" s="55" t="n">
        <f aca="false">IF(P21="y",I20,IF(K20,0,MAX(0,I20+H21-0.5)))</f>
        <v>0</v>
      </c>
      <c r="J21" s="55" t="n">
        <f aca="false">IF(P21="y",J20,IF(K20,0,MAX(0,J20-H21+0.5)))</f>
        <v>0</v>
      </c>
      <c r="K21" s="56" t="n">
        <f aca="false" t="array" ref="K21:K21">IFERROR(OR(ABS(I21)&gt;=4, ABS(J21)&gt;=4),FALSE())</f>
        <v>0</v>
      </c>
      <c r="L21" s="5" t="n">
        <f aca="false">IF(K20,0,L20+1)</f>
        <v>0</v>
      </c>
      <c r="M21" s="7" t="n">
        <f aca="false">IF(P21="y","",C21)</f>
        <v>0.9502</v>
      </c>
      <c r="N21" s="5" t="n">
        <f aca="false">MIN(5,N20+1)</f>
        <v>5</v>
      </c>
      <c r="O21" s="5" t="str">
        <f aca="false">IF(C21&gt;=G21,"Yes","No")</f>
        <v>Yes</v>
      </c>
      <c r="P21" s="57"/>
    </row>
    <row r="22" customFormat="false" ht="15" hidden="false" customHeight="true" outlineLevel="0" collapsed="false">
      <c r="A22" s="60" t="n">
        <f aca="false">'Raw-Data'!A22</f>
        <v>46203</v>
      </c>
      <c r="B22" s="61" t="n">
        <v>1</v>
      </c>
      <c r="C22" s="62" t="n">
        <f aca="false">'Raw-Data'!G22</f>
        <v>0.9607</v>
      </c>
      <c r="D22" s="62" t="n">
        <f aca="true">IF(NOT($K21),D21,AVERAGE(OFFSET($M21,-1*MAX($L21,N21),0):OFFSET($M21,0,0)))</f>
        <v>0.9465</v>
      </c>
      <c r="E22" s="63" t="n">
        <f aca="true">IF(NOT($K21),E21,IFERROR(STDEV(OFFSET($M21,-1*MAX($L21,N21),0):OFFSET($M21,0,0)),E21))</f>
        <v>0.00720333256208543</v>
      </c>
      <c r="F22" s="62" t="n">
        <f aca="false">MAX(0,D22-3*E22)</f>
        <v>0.924890002313744</v>
      </c>
      <c r="G22" s="64" t="n">
        <v>0.95</v>
      </c>
      <c r="H22" s="65" t="n">
        <f aca="false">(C22-D22)/E22</f>
        <v>1.97130978996324</v>
      </c>
      <c r="I22" s="65" t="n">
        <f aca="false">IF(P22="y",I21,IF(K21,0,MAX(0,I21+H22-0.5)))</f>
        <v>1.47130978996324</v>
      </c>
      <c r="J22" s="65" t="n">
        <f aca="false">IF(P22="y",J21,IF(K21,0,MAX(0,J21-H22+0.5)))</f>
        <v>0</v>
      </c>
      <c r="K22" s="61" t="n">
        <f aca="false" t="array" ref="K22:K22">IFERROR(OR(ABS(I22)&gt;=4, ABS(J22)&gt;=4),FALSE())</f>
        <v>0</v>
      </c>
      <c r="L22" s="61" t="n">
        <f aca="false">IF(K21,0,L21+1)</f>
        <v>1</v>
      </c>
      <c r="M22" s="62" t="n">
        <f aca="false">IF(P22="y","",C22)</f>
        <v>0.9607</v>
      </c>
      <c r="N22" s="61" t="n">
        <f aca="false">MIN(5,N21+1)</f>
        <v>5</v>
      </c>
      <c r="O22" s="66" t="str">
        <f aca="false">IF(C22&gt;=G22,"Yes","No")</f>
        <v>Yes</v>
      </c>
      <c r="P22" s="57"/>
    </row>
    <row r="23" customFormat="false" ht="15" hidden="false" customHeight="true" outlineLevel="0" collapsed="false">
      <c r="A23" s="53" t="n">
        <f aca="false">'Raw-Data'!A21</f>
        <v>46204</v>
      </c>
      <c r="B23" s="5" t="n">
        <v>1</v>
      </c>
      <c r="C23" s="7" t="n">
        <f aca="false">'Raw-Data'!G21</f>
        <v>0.939</v>
      </c>
      <c r="D23" s="7" t="n">
        <f aca="true">IF(NOT($K22),D22,AVERAGE(OFFSET($M22,-1*MAX($L22,N22),0):OFFSET($M22,0,0)))</f>
        <v>0.9465</v>
      </c>
      <c r="E23" s="54" t="n">
        <f aca="true">IF(NOT($K22),E22,IFERROR(STDEV(OFFSET($M22,-1*MAX($L22,N22),0):OFFSET($M22,0,0)),E22))</f>
        <v>0.00720333256208543</v>
      </c>
      <c r="F23" s="7" t="n">
        <f aca="false">MAX(0,D23-3*E23)</f>
        <v>0.924890002313744</v>
      </c>
      <c r="G23" s="6" t="n">
        <v>0.95</v>
      </c>
      <c r="H23" s="55" t="n">
        <f aca="false">(C23-D23)/E23</f>
        <v>-1.04118474822003</v>
      </c>
      <c r="I23" s="55" t="n">
        <f aca="false">IF(P23="y",I22,IF(K22,0,MAX(0,I22+H23-0.5)))</f>
        <v>0</v>
      </c>
      <c r="J23" s="55" t="n">
        <f aca="false">IF(P23="y",J22,IF(K22,0,MAX(0,J22-H23+0.5)))</f>
        <v>1.54118474822003</v>
      </c>
      <c r="K23" s="56" t="n">
        <f aca="false" t="array" ref="K23:K23">IFERROR(OR(ABS(I23)&gt;=4, ABS(J23)&gt;=4),FALSE())</f>
        <v>0</v>
      </c>
      <c r="L23" s="5" t="n">
        <f aca="false">IF(K22,0,L22+1)</f>
        <v>2</v>
      </c>
      <c r="M23" s="7" t="n">
        <f aca="false">IF(P23="y","",C23)</f>
        <v>0.939</v>
      </c>
      <c r="N23" s="5" t="n">
        <f aca="false">MIN(5,N22+1)</f>
        <v>5</v>
      </c>
      <c r="O23" s="5" t="str">
        <f aca="false">IF(C23&gt;=G23,"Yes","No")</f>
        <v>No</v>
      </c>
      <c r="P23" s="57"/>
    </row>
    <row r="24" customFormat="false" ht="15" hidden="false" customHeight="true" outlineLevel="0" collapsed="false">
      <c r="A24" s="60" t="n">
        <f aca="false">'Raw-Data'!A20</f>
        <v>46205</v>
      </c>
      <c r="B24" s="61" t="n">
        <v>1</v>
      </c>
      <c r="C24" s="62" t="n">
        <f aca="false">'Raw-Data'!G20</f>
        <v>0.9329</v>
      </c>
      <c r="D24" s="62" t="n">
        <f aca="true">IF(NOT($K23),D23,AVERAGE(OFFSET($M23,-1*MAX($L23,N23),0):OFFSET($M23,0,0)))</f>
        <v>0.9465</v>
      </c>
      <c r="E24" s="63" t="n">
        <f aca="true">IF(NOT($K23),E23,IFERROR(STDEV(OFFSET($M23,-1*MAX($L23,N23),0):OFFSET($M23,0,0)),E23))</f>
        <v>0.00720333256208543</v>
      </c>
      <c r="F24" s="62" t="n">
        <f aca="false">MAX(0,D24-3*E24)</f>
        <v>0.924890002313744</v>
      </c>
      <c r="G24" s="64" t="n">
        <v>0.95</v>
      </c>
      <c r="H24" s="65" t="n">
        <f aca="false">(C24-D24)/E24</f>
        <v>-1.88801501010565</v>
      </c>
      <c r="I24" s="65" t="n">
        <f aca="false">IF(P24="y",I23,IF(K23,0,MAX(0,I23+H24-0.5)))</f>
        <v>0</v>
      </c>
      <c r="J24" s="65" t="n">
        <f aca="false">IF(P24="y",J23,IF(K23,0,MAX(0,J23-H24+0.5)))</f>
        <v>3.92919975832568</v>
      </c>
      <c r="K24" s="61" t="n">
        <f aca="false" t="array" ref="K24:K24">IFERROR(OR(ABS(I24)&gt;=4, ABS(J24)&gt;=4),FALSE())</f>
        <v>0</v>
      </c>
      <c r="L24" s="61" t="n">
        <f aca="false">IF(K23,0,L23+1)</f>
        <v>3</v>
      </c>
      <c r="M24" s="62" t="n">
        <f aca="false">IF(P24="y","",C24)</f>
        <v>0.9329</v>
      </c>
      <c r="N24" s="61" t="n">
        <f aca="false">MIN(5,N23+1)</f>
        <v>5</v>
      </c>
      <c r="O24" s="66" t="str">
        <f aca="false">IF(C24&gt;=G24,"Yes","No")</f>
        <v>No</v>
      </c>
      <c r="P24" s="57"/>
    </row>
    <row r="25" customFormat="false" ht="15" hidden="false" customHeight="true" outlineLevel="0" collapsed="false">
      <c r="A25" s="53" t="n">
        <f aca="false">'Raw-Data'!A19</f>
        <v>46206</v>
      </c>
      <c r="B25" s="5" t="n">
        <v>1</v>
      </c>
      <c r="C25" s="7" t="n">
        <f aca="false">'Raw-Data'!G19</f>
        <v>0.9453</v>
      </c>
      <c r="D25" s="7" t="n">
        <f aca="true">IF(NOT($K24),D24,AVERAGE(OFFSET($M24,-1*MAX($L24,N24),0):OFFSET($M24,0,0)))</f>
        <v>0.9465</v>
      </c>
      <c r="E25" s="54" t="n">
        <f aca="true">IF(NOT($K24),E24,IFERROR(STDEV(OFFSET($M24,-1*MAX($L24,N24),0):OFFSET($M24,0,0)),E24))</f>
        <v>0.00720333256208543</v>
      </c>
      <c r="F25" s="7" t="n">
        <f aca="false">MAX(0,D25-3*E25)</f>
        <v>0.924890002313744</v>
      </c>
      <c r="G25" s="6" t="n">
        <v>0.95</v>
      </c>
      <c r="H25" s="55" t="n">
        <f aca="false">(C25-D25)/E25</f>
        <v>-0.166589559715201</v>
      </c>
      <c r="I25" s="55" t="n">
        <f aca="false">IF(P25="y",I24,IF(K24,0,MAX(0,I24+H25-0.5)))</f>
        <v>0</v>
      </c>
      <c r="J25" s="55" t="n">
        <f aca="false">IF(P25="y",J24,IF(K24,0,MAX(0,J24-H25+0.5)))</f>
        <v>4.59578931804088</v>
      </c>
      <c r="K25" s="56" t="n">
        <f aca="false" t="array" ref="K25:K25">IFERROR(OR(ABS(I25)&gt;=4, ABS(J25)&gt;=4),FALSE())</f>
        <v>1</v>
      </c>
      <c r="L25" s="5" t="n">
        <f aca="false">IF(K24,0,L24+1)</f>
        <v>4</v>
      </c>
      <c r="M25" s="7" t="n">
        <f aca="false">IF(P25="y","",C25)</f>
        <v>0.9453</v>
      </c>
      <c r="N25" s="5" t="n">
        <f aca="false">MIN(5,N24+1)</f>
        <v>5</v>
      </c>
      <c r="O25" s="5" t="str">
        <f aca="false">IF(C25&gt;=G25,"Yes","No")</f>
        <v>No</v>
      </c>
      <c r="P25" s="57"/>
    </row>
    <row r="26" customFormat="false" ht="15" hidden="false" customHeight="true" outlineLevel="0" collapsed="false">
      <c r="A26" s="60" t="n">
        <f aca="false">'Raw-Data'!A18</f>
        <v>46207</v>
      </c>
      <c r="B26" s="61" t="n">
        <v>1</v>
      </c>
      <c r="C26" s="62" t="n">
        <f aca="false">'Raw-Data'!G18</f>
        <v>0.952</v>
      </c>
      <c r="D26" s="62" t="n">
        <f aca="true">IF(NOT($K25),D25,AVERAGE(OFFSET($M25,-1*MAX($L25,N25),0):OFFSET($M25,0,0)))</f>
        <v>0.94415</v>
      </c>
      <c r="E26" s="63" t="n">
        <f aca="true">IF(NOT($K25),E25,IFERROR(STDEV(OFFSET($M25,-1*MAX($L25,N25),0):OFFSET($M25,0,0)),E25))</f>
        <v>0.0101875904903957</v>
      </c>
      <c r="F26" s="62" t="n">
        <f aca="false">MAX(0,D26-3*E26)</f>
        <v>0.913587228528813</v>
      </c>
      <c r="G26" s="64" t="n">
        <v>0.95</v>
      </c>
      <c r="H26" s="65" t="n">
        <f aca="false">(C26-D26)/E26</f>
        <v>0.770545302876129</v>
      </c>
      <c r="I26" s="65" t="n">
        <f aca="false">IF(P26="y",I25,IF(K25,0,MAX(0,I25+H26-0.5)))</f>
        <v>0</v>
      </c>
      <c r="J26" s="65" t="n">
        <f aca="false">IF(P26="y",J25,IF(K25,0,MAX(0,J25-H26+0.5)))</f>
        <v>0</v>
      </c>
      <c r="K26" s="61" t="n">
        <f aca="false" t="array" ref="K26:K26">IFERROR(OR(ABS(I26)&gt;=4, ABS(J26)&gt;=4),FALSE())</f>
        <v>0</v>
      </c>
      <c r="L26" s="61" t="n">
        <f aca="false">IF(K25,0,L25+1)</f>
        <v>0</v>
      </c>
      <c r="M26" s="62" t="n">
        <f aca="false">IF(P26="y","",C26)</f>
        <v>0.952</v>
      </c>
      <c r="N26" s="61" t="n">
        <f aca="false">MIN(5,N25+1)</f>
        <v>5</v>
      </c>
      <c r="O26" s="66" t="str">
        <f aca="false">IF(C26&gt;=G26,"Yes","No")</f>
        <v>Yes</v>
      </c>
      <c r="P26" s="57"/>
    </row>
    <row r="27" customFormat="false" ht="15" hidden="false" customHeight="true" outlineLevel="0" collapsed="false">
      <c r="A27" s="53" t="n">
        <f aca="false">'Raw-Data'!A17</f>
        <v>46208</v>
      </c>
      <c r="B27" s="5" t="n">
        <v>1</v>
      </c>
      <c r="C27" s="7" t="n">
        <f aca="false">'Raw-Data'!G17</f>
        <v>0.9518</v>
      </c>
      <c r="D27" s="7" t="n">
        <f aca="true">IF(NOT($K26),D26,AVERAGE(OFFSET($M26,-1*MAX($L26,N26),0):OFFSET($M26,0,0)))</f>
        <v>0.94415</v>
      </c>
      <c r="E27" s="54" t="n">
        <f aca="true">IF(NOT($K26),E26,IFERROR(STDEV(OFFSET($M26,-1*MAX($L26,N26),0):OFFSET($M26,0,0)),E26))</f>
        <v>0.0101875904903957</v>
      </c>
      <c r="F27" s="7" t="n">
        <f aca="false">MAX(0,D27-3*E27)</f>
        <v>0.913587228528813</v>
      </c>
      <c r="G27" s="6" t="n">
        <v>0.95</v>
      </c>
      <c r="H27" s="55" t="n">
        <f aca="false">(C27-D27)/E27</f>
        <v>0.750913575414319</v>
      </c>
      <c r="I27" s="55" t="n">
        <f aca="false">IF(P27="y",I26,IF(K26,0,MAX(0,I26+H27-0.5)))</f>
        <v>0.250913575414319</v>
      </c>
      <c r="J27" s="55" t="n">
        <f aca="false">IF(P27="y",J26,IF(K26,0,MAX(0,J26-H27+0.5)))</f>
        <v>0</v>
      </c>
      <c r="K27" s="56" t="n">
        <f aca="false" t="array" ref="K27:K27">IFERROR(OR(ABS(I27)&gt;=4, ABS(J27)&gt;=4),FALSE())</f>
        <v>0</v>
      </c>
      <c r="L27" s="5" t="n">
        <f aca="false">IF(K26,0,L26+1)</f>
        <v>1</v>
      </c>
      <c r="M27" s="7" t="n">
        <f aca="false">IF(P27="y","",C27)</f>
        <v>0.9518</v>
      </c>
      <c r="N27" s="5" t="n">
        <f aca="false">MIN(5,N26+1)</f>
        <v>5</v>
      </c>
      <c r="O27" s="5" t="str">
        <f aca="false">IF(C27&gt;=G27,"Yes","No")</f>
        <v>Yes</v>
      </c>
      <c r="P27" s="57"/>
    </row>
    <row r="28" customFormat="false" ht="15" hidden="false" customHeight="true" outlineLevel="0" collapsed="false">
      <c r="A28" s="60" t="n">
        <f aca="false">'Raw-Data'!A16</f>
        <v>46209</v>
      </c>
      <c r="B28" s="61" t="n">
        <v>1</v>
      </c>
      <c r="C28" s="62" t="n">
        <f aca="false">'Raw-Data'!G16</f>
        <v>0.938</v>
      </c>
      <c r="D28" s="62" t="n">
        <f aca="true">IF(NOT($K27),D27,AVERAGE(OFFSET($M27,-1*MAX($L27,N27),0):OFFSET($M27,0,0)))</f>
        <v>0.94415</v>
      </c>
      <c r="E28" s="63" t="n">
        <f aca="true">IF(NOT($K27),E27,IFERROR(STDEV(OFFSET($M27,-1*MAX($L27,N27),0):OFFSET($M27,0,0)),E27))</f>
        <v>0.0101875904903957</v>
      </c>
      <c r="F28" s="62" t="n">
        <f aca="false">MAX(0,D28-3*E28)</f>
        <v>0.913587228528813</v>
      </c>
      <c r="G28" s="64" t="n">
        <v>0.95</v>
      </c>
      <c r="H28" s="65" t="n">
        <f aca="false">(C28-D28)/E28</f>
        <v>-0.603675619450742</v>
      </c>
      <c r="I28" s="65" t="n">
        <f aca="false">IF(P28="y",I27,IF(K27,0,MAX(0,I27+H28-0.5)))</f>
        <v>0</v>
      </c>
      <c r="J28" s="65" t="n">
        <f aca="false">IF(P28="y",J27,IF(K27,0,MAX(0,J27-H28+0.5)))</f>
        <v>1.10367561945074</v>
      </c>
      <c r="K28" s="61" t="n">
        <f aca="false" t="array" ref="K28:K28">IFERROR(OR(ABS(I28)&gt;=4, ABS(J28)&gt;=4),FALSE())</f>
        <v>0</v>
      </c>
      <c r="L28" s="61" t="n">
        <f aca="false">IF(K27,0,L27+1)</f>
        <v>2</v>
      </c>
      <c r="M28" s="62" t="n">
        <f aca="false">IF(P28="y","",C28)</f>
        <v>0.938</v>
      </c>
      <c r="N28" s="61" t="n">
        <f aca="false">MIN(5,N27+1)</f>
        <v>5</v>
      </c>
      <c r="O28" s="66" t="str">
        <f aca="false">IF(C28&gt;=G28,"Yes","No")</f>
        <v>No</v>
      </c>
      <c r="P28" s="57"/>
    </row>
    <row r="29" customFormat="false" ht="15" hidden="false" customHeight="true" outlineLevel="0" collapsed="false">
      <c r="A29" s="53" t="n">
        <f aca="false">'Raw-Data'!A15</f>
        <v>46210</v>
      </c>
      <c r="B29" s="5" t="n">
        <v>1</v>
      </c>
      <c r="C29" s="7" t="n">
        <f aca="false">'Raw-Data'!G15</f>
        <v>0.9389</v>
      </c>
      <c r="D29" s="7" t="n">
        <f aca="true">IF(NOT($K28),D28,AVERAGE(OFFSET($M28,-1*MAX($L28,N28),0):OFFSET($M28,0,0)))</f>
        <v>0.94415</v>
      </c>
      <c r="E29" s="54" t="n">
        <f aca="true">IF(NOT($K28),E28,IFERROR(STDEV(OFFSET($M28,-1*MAX($L28,N28),0):OFFSET($M28,0,0)),E28))</f>
        <v>0.0101875904903957</v>
      </c>
      <c r="F29" s="7" t="n">
        <f aca="false">MAX(0,D29-3*E29)</f>
        <v>0.913587228528813</v>
      </c>
      <c r="G29" s="6" t="n">
        <v>0.95</v>
      </c>
      <c r="H29" s="55" t="n">
        <f aca="false">(C29-D29)/E29</f>
        <v>-0.515332845872585</v>
      </c>
      <c r="I29" s="55" t="n">
        <f aca="false">IF(P29="y",I28,IF(K28,0,MAX(0,I28+H29-0.5)))</f>
        <v>0</v>
      </c>
      <c r="J29" s="55" t="n">
        <f aca="false">IF(P29="y",J28,IF(K28,0,MAX(0,J28-H29+0.5)))</f>
        <v>2.11900846532333</v>
      </c>
      <c r="K29" s="56" t="n">
        <f aca="false" t="array" ref="K29:K29">IFERROR(OR(ABS(I29)&gt;=4, ABS(J29)&gt;=4),FALSE())</f>
        <v>0</v>
      </c>
      <c r="L29" s="5" t="n">
        <f aca="false">IF(K28,0,L28+1)</f>
        <v>3</v>
      </c>
      <c r="M29" s="7" t="n">
        <f aca="false">IF(P29="y","",C29)</f>
        <v>0.9389</v>
      </c>
      <c r="N29" s="5" t="n">
        <f aca="false">MIN(5,N28+1)</f>
        <v>5</v>
      </c>
      <c r="O29" s="5" t="str">
        <f aca="false">IF(C29&gt;=G29,"Yes","No")</f>
        <v>No</v>
      </c>
      <c r="P29" s="57"/>
    </row>
    <row r="30" customFormat="false" ht="15" hidden="false" customHeight="true" outlineLevel="0" collapsed="false">
      <c r="A30" s="60" t="n">
        <f aca="false">'Raw-Data'!A14</f>
        <v>46211</v>
      </c>
      <c r="B30" s="61" t="n">
        <v>1</v>
      </c>
      <c r="C30" s="62" t="n">
        <f aca="false">'Raw-Data'!G14</f>
        <v>0.9584</v>
      </c>
      <c r="D30" s="62" t="n">
        <f aca="true">IF(NOT($K29),D29,AVERAGE(OFFSET($M29,-1*MAX($L29,N29),0):OFFSET($M29,0,0)))</f>
        <v>0.94415</v>
      </c>
      <c r="E30" s="63" t="n">
        <f aca="true">IF(NOT($K29),E29,IFERROR(STDEV(OFFSET($M29,-1*MAX($L29,N29),0):OFFSET($M29,0,0)),E29))</f>
        <v>0.0101875904903957</v>
      </c>
      <c r="F30" s="62" t="n">
        <f aca="false">MAX(0,D30-3*E30)</f>
        <v>0.913587228528813</v>
      </c>
      <c r="G30" s="64" t="n">
        <v>0.95</v>
      </c>
      <c r="H30" s="65" t="n">
        <f aca="false">(C30-D30)/E30</f>
        <v>1.39876058165413</v>
      </c>
      <c r="I30" s="65" t="n">
        <f aca="false">IF(P30="y",I29,IF(K29,0,MAX(0,I29+H30-0.5)))</f>
        <v>0.898760581654134</v>
      </c>
      <c r="J30" s="65" t="n">
        <f aca="false">IF(P30="y",J29,IF(K29,0,MAX(0,J29-H30+0.5)))</f>
        <v>1.22024788366919</v>
      </c>
      <c r="K30" s="61" t="n">
        <f aca="false" t="array" ref="K30:K30">IFERROR(OR(ABS(I30)&gt;=4, ABS(J30)&gt;=4),FALSE())</f>
        <v>0</v>
      </c>
      <c r="L30" s="61" t="n">
        <f aca="false">IF(K29,0,L29+1)</f>
        <v>4</v>
      </c>
      <c r="M30" s="62" t="n">
        <f aca="false">IF(P30="y","",C30)</f>
        <v>0.9584</v>
      </c>
      <c r="N30" s="61" t="n">
        <f aca="false">MIN(5,N29+1)</f>
        <v>5</v>
      </c>
      <c r="O30" s="66" t="str">
        <f aca="false">IF(C30&gt;=G30,"Yes","No")</f>
        <v>Yes</v>
      </c>
      <c r="P30" s="57"/>
    </row>
    <row r="31" customFormat="false" ht="15" hidden="false" customHeight="true" outlineLevel="0" collapsed="false">
      <c r="A31" s="53" t="n">
        <f aca="false">'Raw-Data'!A13</f>
        <v>46212</v>
      </c>
      <c r="B31" s="5" t="n">
        <v>1</v>
      </c>
      <c r="C31" s="7" t="n">
        <f aca="false">'Raw-Data'!G13</f>
        <v>0.9505</v>
      </c>
      <c r="D31" s="7" t="n">
        <f aca="true">IF(NOT($K30),D30,AVERAGE(OFFSET($M30,-1*MAX($L30,N30),0):OFFSET($M30,0,0)))</f>
        <v>0.94415</v>
      </c>
      <c r="E31" s="54" t="n">
        <f aca="true">IF(NOT($K30),E30,IFERROR(STDEV(OFFSET($M30,-1*MAX($L30,N30),0):OFFSET($M30,0,0)),E30))</f>
        <v>0.0101875904903957</v>
      </c>
      <c r="F31" s="7" t="n">
        <f aca="false">MAX(0,D31-3*E31)</f>
        <v>0.913587228528813</v>
      </c>
      <c r="G31" s="6" t="n">
        <v>0.95</v>
      </c>
      <c r="H31" s="55" t="n">
        <f aca="false">(C31-D31)/E31</f>
        <v>0.623307346912541</v>
      </c>
      <c r="I31" s="55" t="n">
        <f aca="false">IF(P31="y",I30,IF(K30,0,MAX(0,I30+H31-0.5)))</f>
        <v>1.02206792856667</v>
      </c>
      <c r="J31" s="55" t="n">
        <f aca="false">IF(P31="y",J30,IF(K30,0,MAX(0,J30-H31+0.5)))</f>
        <v>1.09694053675665</v>
      </c>
      <c r="K31" s="56" t="n">
        <f aca="false" t="array" ref="K31:K31">IFERROR(OR(ABS(I31)&gt;=4, ABS(J31)&gt;=4),FALSE())</f>
        <v>0</v>
      </c>
      <c r="L31" s="5" t="n">
        <f aca="false">IF(K30,0,L30+1)</f>
        <v>5</v>
      </c>
      <c r="M31" s="7" t="n">
        <f aca="false">IF(P31="y","",C31)</f>
        <v>0.9505</v>
      </c>
      <c r="N31" s="5" t="n">
        <f aca="false">MIN(5,N30+1)</f>
        <v>5</v>
      </c>
      <c r="O31" s="5" t="str">
        <f aca="false">IF(C31&gt;=G31,"Yes","No")</f>
        <v>Yes</v>
      </c>
      <c r="P31" s="57"/>
    </row>
    <row r="32" customFormat="false" ht="15" hidden="false" customHeight="true" outlineLevel="0" collapsed="false">
      <c r="A32" s="60" t="n">
        <f aca="false">'Raw-Data'!A12</f>
        <v>46213</v>
      </c>
      <c r="B32" s="61" t="n">
        <v>1</v>
      </c>
      <c r="C32" s="62" t="n">
        <f aca="false">'Raw-Data'!G12</f>
        <v>0.9522</v>
      </c>
      <c r="D32" s="62" t="n">
        <f aca="true">IF(NOT($K31),D31,AVERAGE(OFFSET($M31,-1*MAX($L31,N31),0):OFFSET($M31,0,0)))</f>
        <v>0.94415</v>
      </c>
      <c r="E32" s="63" t="n">
        <f aca="true">IF(NOT($K31),E31,IFERROR(STDEV(OFFSET($M31,-1*MAX($L31,N31),0):OFFSET($M31,0,0)),E31))</f>
        <v>0.0101875904903957</v>
      </c>
      <c r="F32" s="62" t="n">
        <f aca="false">MAX(0,D32-3*E32)</f>
        <v>0.913587228528813</v>
      </c>
      <c r="G32" s="64" t="n">
        <v>0.95</v>
      </c>
      <c r="H32" s="65" t="n">
        <f aca="false">(C32-D32)/E32</f>
        <v>0.79017703033795</v>
      </c>
      <c r="I32" s="65" t="n">
        <f aca="false">IF(P32="y",I31,IF(K31,0,MAX(0,I31+H32-0.5)))</f>
        <v>1.31224495890462</v>
      </c>
      <c r="J32" s="65" t="n">
        <f aca="false">IF(P32="y",J31,IF(K31,0,MAX(0,J31-H32+0.5)))</f>
        <v>0.806763506418702</v>
      </c>
      <c r="K32" s="61" t="n">
        <f aca="false" t="array" ref="K32:K32">IFERROR(OR(ABS(I32)&gt;=4, ABS(J32)&gt;=4),FALSE())</f>
        <v>0</v>
      </c>
      <c r="L32" s="61" t="n">
        <f aca="false">IF(K31,0,L31+1)</f>
        <v>6</v>
      </c>
      <c r="M32" s="62" t="n">
        <f aca="false">IF(P32="y","",C32)</f>
        <v>0.9522</v>
      </c>
      <c r="N32" s="61" t="n">
        <f aca="false">MIN(5,N31+1)</f>
        <v>5</v>
      </c>
      <c r="O32" s="66" t="str">
        <f aca="false">IF(C32&gt;=G32,"Yes","No")</f>
        <v>Yes</v>
      </c>
      <c r="P32" s="57"/>
    </row>
    <row r="33" customFormat="false" ht="15" hidden="false" customHeight="true" outlineLevel="0" collapsed="false">
      <c r="A33" s="53" t="n">
        <f aca="false">'Raw-Data'!A11</f>
        <v>46214</v>
      </c>
      <c r="B33" s="5" t="n">
        <v>1</v>
      </c>
      <c r="C33" s="7" t="n">
        <f aca="false">'Raw-Data'!G11</f>
        <v>0.9553</v>
      </c>
      <c r="D33" s="7" t="n">
        <f aca="true">IF(NOT($K32),D32,AVERAGE(OFFSET($M32,-1*MAX($L32,N32),0):OFFSET($M32,0,0)))</f>
        <v>0.94415</v>
      </c>
      <c r="E33" s="54" t="n">
        <f aca="true">IF(NOT($K32),E32,IFERROR(STDEV(OFFSET($M32,-1*MAX($L32,N32),0):OFFSET($M32,0,0)),E32))</f>
        <v>0.0101875904903957</v>
      </c>
      <c r="F33" s="7" t="n">
        <f aca="false">MAX(0,D33-3*E33)</f>
        <v>0.913587228528813</v>
      </c>
      <c r="G33" s="6" t="n">
        <v>0.95</v>
      </c>
      <c r="H33" s="55" t="n">
        <f aca="false">(C33-D33)/E33</f>
        <v>1.09446880599604</v>
      </c>
      <c r="I33" s="55" t="n">
        <f aca="false">IF(P33="y",I32,IF(K32,0,MAX(0,I32+H33-0.5)))</f>
        <v>1.90671376490067</v>
      </c>
      <c r="J33" s="55" t="n">
        <f aca="false">IF(P33="y",J32,IF(K32,0,MAX(0,J32-H33+0.5)))</f>
        <v>0.21229470042266</v>
      </c>
      <c r="K33" s="56" t="n">
        <f aca="false" t="array" ref="K33:K33">IFERROR(OR(ABS(I33)&gt;=4, ABS(J33)&gt;=4),FALSE())</f>
        <v>0</v>
      </c>
      <c r="L33" s="5" t="n">
        <f aca="false">IF(K32,0,L32+1)</f>
        <v>7</v>
      </c>
      <c r="M33" s="7" t="n">
        <f aca="false">IF(P33="y","",C33)</f>
        <v>0.9553</v>
      </c>
      <c r="N33" s="5" t="n">
        <f aca="false">MIN(5,N32+1)</f>
        <v>5</v>
      </c>
      <c r="O33" s="5" t="str">
        <f aca="false">IF(C33&gt;=G33,"Yes","No")</f>
        <v>Yes</v>
      </c>
      <c r="P33" s="57"/>
    </row>
    <row r="34" customFormat="false" ht="15" hidden="false" customHeight="true" outlineLevel="0" collapsed="false">
      <c r="A34" s="60" t="n">
        <f aca="false">'Raw-Data'!A10</f>
        <v>46215</v>
      </c>
      <c r="B34" s="61" t="n">
        <v>1</v>
      </c>
      <c r="C34" s="62" t="n">
        <f aca="false">'Raw-Data'!G10</f>
        <v>0.9581</v>
      </c>
      <c r="D34" s="62" t="n">
        <f aca="true">IF(NOT($K33),D33,AVERAGE(OFFSET($M33,-1*MAX($L33,N33),0):OFFSET($M33,0,0)))</f>
        <v>0.94415</v>
      </c>
      <c r="E34" s="63" t="n">
        <f aca="true">IF(NOT($K33),E33,IFERROR(STDEV(OFFSET($M33,-1*MAX($L33,N33),0):OFFSET($M33,0,0)),E33))</f>
        <v>0.0101875904903957</v>
      </c>
      <c r="F34" s="62" t="n">
        <f aca="false">MAX(0,D34-3*E34)</f>
        <v>0.913587228528813</v>
      </c>
      <c r="G34" s="64" t="n">
        <v>0.95</v>
      </c>
      <c r="H34" s="65" t="n">
        <f aca="false">(C34-D34)/E34</f>
        <v>1.36931299046141</v>
      </c>
      <c r="I34" s="65" t="n">
        <f aca="false">IF(P34="y",I33,IF(K33,0,MAX(0,I33+H34-0.5)))</f>
        <v>2.77602675536207</v>
      </c>
      <c r="J34" s="65" t="n">
        <f aca="false">IF(P34="y",J33,IF(K33,0,MAX(0,J33-H34+0.5)))</f>
        <v>0</v>
      </c>
      <c r="K34" s="61" t="n">
        <f aca="false" t="array" ref="K34:K34">IFERROR(OR(ABS(I34)&gt;=4, ABS(J34)&gt;=4),FALSE())</f>
        <v>0</v>
      </c>
      <c r="L34" s="61" t="n">
        <f aca="false">IF(K33,0,L33+1)</f>
        <v>8</v>
      </c>
      <c r="M34" s="62" t="n">
        <f aca="false">IF(P34="y","",C34)</f>
        <v>0.9581</v>
      </c>
      <c r="N34" s="61" t="n">
        <f aca="false">MIN(5,N33+1)</f>
        <v>5</v>
      </c>
      <c r="O34" s="66" t="str">
        <f aca="false">IF(C34&gt;=G34,"Yes","No")</f>
        <v>Yes</v>
      </c>
      <c r="P34" s="57"/>
    </row>
    <row r="35" customFormat="false" ht="15" hidden="false" customHeight="true" outlineLevel="0" collapsed="false">
      <c r="A35" s="53" t="n">
        <f aca="false">'Raw-Data'!A9</f>
        <v>46216</v>
      </c>
      <c r="B35" s="5" t="n">
        <v>1</v>
      </c>
      <c r="C35" s="7" t="n">
        <f aca="false">'Raw-Data'!G9</f>
        <v>0.9511</v>
      </c>
      <c r="D35" s="7" t="n">
        <f aca="true">IF(NOT($K34),D34,AVERAGE(OFFSET($M34,-1*MAX($L34,N34),0):OFFSET($M34,0,0)))</f>
        <v>0.94415</v>
      </c>
      <c r="E35" s="54" t="n">
        <f aca="true">IF(NOT($K34),E34,IFERROR(STDEV(OFFSET($M34,-1*MAX($L34,N34),0):OFFSET($M34,0,0)),E34))</f>
        <v>0.0101875904903957</v>
      </c>
      <c r="F35" s="7" t="n">
        <f aca="false">MAX(0,D35-3*E35)</f>
        <v>0.913587228528813</v>
      </c>
      <c r="G35" s="6" t="n">
        <v>0.95</v>
      </c>
      <c r="H35" s="55" t="n">
        <f aca="false">(C35-D35)/E35</f>
        <v>0.682202529297972</v>
      </c>
      <c r="I35" s="55" t="n">
        <f aca="false">IF(P35="y",I34,IF(K34,0,MAX(0,I34+H35-0.5)))</f>
        <v>2.95822928466005</v>
      </c>
      <c r="J35" s="55" t="n">
        <f aca="false">IF(P35="y",J34,IF(K34,0,MAX(0,J34-H35+0.5)))</f>
        <v>0</v>
      </c>
      <c r="K35" s="56" t="n">
        <f aca="false" t="array" ref="K35:K35">IFERROR(OR(ABS(I35)&gt;=4, ABS(J35)&gt;=4),FALSE())</f>
        <v>0</v>
      </c>
      <c r="L35" s="5" t="n">
        <f aca="false">IF(K34,0,L34+1)</f>
        <v>9</v>
      </c>
      <c r="M35" s="7" t="n">
        <f aca="false">IF(P35="y","",C35)</f>
        <v>0.9511</v>
      </c>
      <c r="N35" s="5" t="n">
        <f aca="false">MIN(5,N34+1)</f>
        <v>5</v>
      </c>
      <c r="O35" s="5" t="str">
        <f aca="false">IF(C35&gt;=G35,"Yes","No")</f>
        <v>Yes</v>
      </c>
      <c r="P35" s="57"/>
    </row>
    <row r="36" customFormat="false" ht="15" hidden="false" customHeight="true" outlineLevel="0" collapsed="false">
      <c r="A36" s="60" t="n">
        <f aca="false">'Raw-Data'!A8</f>
        <v>46217</v>
      </c>
      <c r="B36" s="61" t="n">
        <v>1</v>
      </c>
      <c r="C36" s="62" t="n">
        <f aca="false">'Raw-Data'!G8</f>
        <v>0.9482</v>
      </c>
      <c r="D36" s="62" t="n">
        <f aca="true">IF(NOT($K35),D35,AVERAGE(OFFSET($M35,-1*MAX($L35,N35),0):OFFSET($M35,0,0)))</f>
        <v>0.94415</v>
      </c>
      <c r="E36" s="63" t="n">
        <f aca="true">IF(NOT($K35),E35,IFERROR(STDEV(OFFSET($M35,-1*MAX($L35,N35),0):OFFSET($M35,0,0)),E35))</f>
        <v>0.0101875904903957</v>
      </c>
      <c r="F36" s="62" t="n">
        <f aca="false">MAX(0,D36-3*E36)</f>
        <v>0.913587228528813</v>
      </c>
      <c r="G36" s="64" t="n">
        <v>0.95</v>
      </c>
      <c r="H36" s="65" t="n">
        <f aca="false">(C36-D36)/E36</f>
        <v>0.397542481101701</v>
      </c>
      <c r="I36" s="65" t="n">
        <f aca="false">IF(P36="y",I35,IF(K35,0,MAX(0,I35+H36-0.5)))</f>
        <v>2.85577176576175</v>
      </c>
      <c r="J36" s="65" t="n">
        <f aca="false">IF(P36="y",J35,IF(K35,0,MAX(0,J35-H36+0.5)))</f>
        <v>0.102457518898299</v>
      </c>
      <c r="K36" s="61" t="n">
        <f aca="false" t="array" ref="K36:K36">IFERROR(OR(ABS(I36)&gt;=4, ABS(J36)&gt;=4),FALSE())</f>
        <v>0</v>
      </c>
      <c r="L36" s="61" t="n">
        <f aca="false">IF(K35,0,L35+1)</f>
        <v>10</v>
      </c>
      <c r="M36" s="62" t="n">
        <f aca="false">IF(P36="y","",C36)</f>
        <v>0.9482</v>
      </c>
      <c r="N36" s="61" t="n">
        <f aca="false">MIN(5,N35+1)</f>
        <v>5</v>
      </c>
      <c r="O36" s="66" t="str">
        <f aca="false">IF(C36&gt;=G36,"Yes","No")</f>
        <v>No</v>
      </c>
      <c r="P36" s="57"/>
    </row>
    <row r="37" customFormat="false" ht="15" hidden="false" customHeight="true" outlineLevel="0" collapsed="false">
      <c r="A37" s="53" t="n">
        <f aca="false">'Raw-Data'!A7</f>
        <v>46218</v>
      </c>
      <c r="B37" s="5" t="n">
        <v>1</v>
      </c>
      <c r="C37" s="7" t="n">
        <f aca="false">'Raw-Data'!G7</f>
        <v>0.9434</v>
      </c>
      <c r="D37" s="7" t="n">
        <f aca="true">IF(NOT($K36),D36,AVERAGE(OFFSET($M36,-1*MAX($L36,N36),0):OFFSET($M36,0,0)))</f>
        <v>0.94415</v>
      </c>
      <c r="E37" s="54" t="n">
        <f aca="true">IF(NOT($K36),E36,IFERROR(STDEV(OFFSET($M36,-1*MAX($L36,N36),0):OFFSET($M36,0,0)),E36))</f>
        <v>0.0101875904903957</v>
      </c>
      <c r="F37" s="7" t="n">
        <f aca="false">MAX(0,D37-3*E37)</f>
        <v>0.913587228528813</v>
      </c>
      <c r="G37" s="6" t="n">
        <v>0.95</v>
      </c>
      <c r="H37" s="55" t="n">
        <f aca="false">(C37-D37)/E37</f>
        <v>-0.0736189779817994</v>
      </c>
      <c r="I37" s="55" t="n">
        <f aca="false">IF(P37="y",I36,IF(K36,0,MAX(0,I36+H37-0.5)))</f>
        <v>2.28215278777995</v>
      </c>
      <c r="J37" s="55" t="n">
        <f aca="false">IF(P37="y",J36,IF(K36,0,MAX(0,J36-H37+0.5)))</f>
        <v>0.676076496880098</v>
      </c>
      <c r="K37" s="56" t="n">
        <f aca="false" t="array" ref="K37:K37">IFERROR(OR(ABS(I37)&gt;=4, ABS(J37)&gt;=4),FALSE())</f>
        <v>0</v>
      </c>
      <c r="L37" s="5" t="n">
        <f aca="false">IF(K36,0,L36+1)</f>
        <v>11</v>
      </c>
      <c r="M37" s="7" t="n">
        <f aca="false">IF(P37="y","",C37)</f>
        <v>0.9434</v>
      </c>
      <c r="N37" s="5" t="n">
        <f aca="false">MIN(5,N36+1)</f>
        <v>5</v>
      </c>
      <c r="O37" s="5" t="str">
        <f aca="false">IF(C37&gt;=G37,"Yes","No")</f>
        <v>No</v>
      </c>
      <c r="P37" s="57"/>
    </row>
    <row r="38" customFormat="false" ht="15" hidden="false" customHeight="true" outlineLevel="0" collapsed="false">
      <c r="A38" s="60" t="n">
        <f aca="false">'Raw-Data'!A6</f>
        <v>46219</v>
      </c>
      <c r="B38" s="61" t="n">
        <v>1</v>
      </c>
      <c r="C38" s="62" t="n">
        <f aca="false">'Raw-Data'!G6</f>
        <v>0.9485</v>
      </c>
      <c r="D38" s="62" t="n">
        <f aca="true">IF(NOT($K37),D37,AVERAGE(OFFSET($M37,-1*MAX($L37,N37),0):OFFSET($M37,0,0)))</f>
        <v>0.94415</v>
      </c>
      <c r="E38" s="63" t="n">
        <f aca="true">IF(NOT($K37),E37,IFERROR(STDEV(OFFSET($M37,-1*MAX($L37,N37),0):OFFSET($M37,0,0)),E37))</f>
        <v>0.0101875904903957</v>
      </c>
      <c r="F38" s="62" t="n">
        <f aca="false">MAX(0,D38-3*E38)</f>
        <v>0.913587228528813</v>
      </c>
      <c r="G38" s="64" t="n">
        <v>0.95</v>
      </c>
      <c r="H38" s="65" t="n">
        <f aca="false">(C38-D38)/E38</f>
        <v>0.426990072294417</v>
      </c>
      <c r="I38" s="65" t="n">
        <f aca="false">IF(P38="y",I37,IF(K37,0,MAX(0,I37+H38-0.5)))</f>
        <v>2.20914286007436</v>
      </c>
      <c r="J38" s="65" t="n">
        <f aca="false">IF(P38="y",J37,IF(K37,0,MAX(0,J37-H38+0.5)))</f>
        <v>0.749086424585681</v>
      </c>
      <c r="K38" s="61" t="n">
        <f aca="false" t="array" ref="K38:K38">IFERROR(OR(ABS(I38)&gt;=4, ABS(J38)&gt;=4),FALSE())</f>
        <v>0</v>
      </c>
      <c r="L38" s="61" t="n">
        <f aca="false">IF(K37,0,L37+1)</f>
        <v>12</v>
      </c>
      <c r="M38" s="62" t="n">
        <f aca="false">IF(P38="y","",C38)</f>
        <v>0.9485</v>
      </c>
      <c r="N38" s="61" t="n">
        <f aca="false">MIN(5,N37+1)</f>
        <v>5</v>
      </c>
      <c r="O38" s="66" t="str">
        <f aca="false">IF(C38&gt;=G38,"Yes","No")</f>
        <v>No</v>
      </c>
      <c r="P38" s="57"/>
    </row>
    <row r="39" customFormat="false" ht="15" hidden="false" customHeight="true" outlineLevel="0" collapsed="false">
      <c r="A39" s="53" t="n">
        <f aca="false">'Raw-Data'!A5</f>
        <v>46220</v>
      </c>
      <c r="B39" s="5" t="n">
        <v>1</v>
      </c>
      <c r="C39" s="7" t="n">
        <f aca="false">'Raw-Data'!G5</f>
        <v>0.9486</v>
      </c>
      <c r="D39" s="7" t="n">
        <f aca="true">IF(NOT($K38),D38,AVERAGE(OFFSET($M38,-1*MAX($L38,N38),0):OFFSET($M38,0,0)))</f>
        <v>0.94415</v>
      </c>
      <c r="E39" s="54" t="n">
        <f aca="true">IF(NOT($K38),E38,IFERROR(STDEV(OFFSET($M38,-1*MAX($L38,N38),0):OFFSET($M38,0,0)),E38))</f>
        <v>0.0101875904903957</v>
      </c>
      <c r="F39" s="7" t="n">
        <f aca="false">MAX(0,D39-3*E39)</f>
        <v>0.913587228528813</v>
      </c>
      <c r="G39" s="6" t="n">
        <v>0.95</v>
      </c>
      <c r="H39" s="55" t="n">
        <f aca="false">(C39-D39)/E39</f>
        <v>0.436805936025322</v>
      </c>
      <c r="I39" s="55" t="n">
        <f aca="false">IF(P39="y",I38,IF(K38,0,MAX(0,I38+H39-0.5)))</f>
        <v>2.14594879609969</v>
      </c>
      <c r="J39" s="55" t="n">
        <f aca="false">IF(P39="y",J38,IF(K38,0,MAX(0,J38-H39+0.5)))</f>
        <v>0.812280488560359</v>
      </c>
      <c r="K39" s="56" t="n">
        <f aca="false" t="array" ref="K39:K39">IFERROR(OR(ABS(I39)&gt;=4, ABS(J39)&gt;=4),FALSE())</f>
        <v>0</v>
      </c>
      <c r="L39" s="5" t="n">
        <f aca="false">IF(K38,0,L38+1)</f>
        <v>13</v>
      </c>
      <c r="M39" s="7" t="n">
        <f aca="false">IF(P39="y","",C39)</f>
        <v>0.9486</v>
      </c>
      <c r="N39" s="5" t="n">
        <f aca="false">MIN(5,N38+1)</f>
        <v>5</v>
      </c>
      <c r="O39" s="5" t="str">
        <f aca="false">IF(C39&gt;=G39,"Yes","No")</f>
        <v>No</v>
      </c>
      <c r="P39" s="57"/>
    </row>
    <row r="40" customFormat="false" ht="15" hidden="false" customHeight="true" outlineLevel="0" collapsed="false">
      <c r="A40" s="60" t="n">
        <f aca="false">'Raw-Data'!A4</f>
        <v>46221</v>
      </c>
      <c r="B40" s="61" t="n">
        <v>1</v>
      </c>
      <c r="C40" s="62" t="n">
        <f aca="false">'Raw-Data'!G4</f>
        <v>0.9579</v>
      </c>
      <c r="D40" s="62" t="n">
        <f aca="true">IF(NOT($K39),D39,AVERAGE(OFFSET($M39,-1*MAX($L39,N39),0):OFFSET($M39,0,0)))</f>
        <v>0.94415</v>
      </c>
      <c r="E40" s="63" t="n">
        <f aca="true">IF(NOT($K39),E39,IFERROR(STDEV(OFFSET($M39,-1*MAX($L39,N39),0):OFFSET($M39,0,0)),E39))</f>
        <v>0.0101875904903957</v>
      </c>
      <c r="F40" s="62" t="n">
        <f aca="false">MAX(0,D40-3*E40)</f>
        <v>0.913587228528813</v>
      </c>
      <c r="G40" s="64" t="n">
        <v>0.95</v>
      </c>
      <c r="H40" s="65" t="n">
        <f aca="false">(C40-D40)/E40</f>
        <v>1.3496812629996</v>
      </c>
      <c r="I40" s="65" t="n">
        <f aca="false">IF(P40="y",I39,IF(K39,0,MAX(0,I39+H40-0.5)))</f>
        <v>2.99563005909928</v>
      </c>
      <c r="J40" s="65" t="n">
        <f aca="false">IF(P40="y",J39,IF(K39,0,MAX(0,J39-H40+0.5)))</f>
        <v>0</v>
      </c>
      <c r="K40" s="61" t="n">
        <f aca="false" t="array" ref="K40:K40">IFERROR(OR(ABS(I40)&gt;=4, ABS(J40)&gt;=4),FALSE())</f>
        <v>0</v>
      </c>
      <c r="L40" s="61" t="n">
        <f aca="false">IF(K39,0,L39+1)</f>
        <v>14</v>
      </c>
      <c r="M40" s="62" t="n">
        <f aca="false">IF(P40="y","",C40)</f>
        <v>0.9579</v>
      </c>
      <c r="N40" s="61" t="n">
        <f aca="false">MIN(5,N39+1)</f>
        <v>5</v>
      </c>
      <c r="O40" s="66" t="str">
        <f aca="false">IF(C40&gt;=G40,"Yes","No")</f>
        <v>Yes</v>
      </c>
      <c r="P40" s="57"/>
    </row>
    <row r="41" customFormat="false" ht="15" hidden="false" customHeight="true" outlineLevel="0" collapsed="false">
      <c r="A41" s="53" t="n">
        <f aca="false">'Raw-Data'!A3</f>
        <v>46222</v>
      </c>
      <c r="B41" s="5" t="n">
        <v>1</v>
      </c>
      <c r="C41" s="7" t="n">
        <f aca="false">'Raw-Data'!G3</f>
        <v>0.9488</v>
      </c>
      <c r="D41" s="7" t="n">
        <f aca="true">IF(NOT($K40),D40,AVERAGE(OFFSET($M40,-1*MAX($L40,N40),0):OFFSET($M40,0,0)))</f>
        <v>0.94415</v>
      </c>
      <c r="E41" s="54" t="n">
        <f aca="true">IF(NOT($K40),E40,IFERROR(STDEV(OFFSET($M40,-1*MAX($L40,N40),0):OFFSET($M40,0,0)),E40))</f>
        <v>0.0101875904903957</v>
      </c>
      <c r="F41" s="7" t="n">
        <f aca="false">MAX(0,D41-3*E41)</f>
        <v>0.913587228528813</v>
      </c>
      <c r="G41" s="6" t="n">
        <v>0.95</v>
      </c>
      <c r="H41" s="55" t="n">
        <f aca="false">(C41-D41)/E41</f>
        <v>0.456437663487132</v>
      </c>
      <c r="I41" s="55" t="n">
        <f aca="false">IF(P41="y",I40,IF(K40,0,MAX(0,I40+H41-0.5)))</f>
        <v>2.95206772258642</v>
      </c>
      <c r="J41" s="55" t="n">
        <f aca="false">IF(P41="y",J40,IF(K40,0,MAX(0,J40-H41+0.5)))</f>
        <v>0.0435623365128678</v>
      </c>
      <c r="K41" s="56" t="n">
        <f aca="false" t="array" ref="K41:K41">IFERROR(OR(ABS(I41)&gt;=4, ABS(J41)&gt;=4),FALSE())</f>
        <v>0</v>
      </c>
      <c r="L41" s="5" t="n">
        <f aca="false">IF(K40,0,L40+1)</f>
        <v>15</v>
      </c>
      <c r="M41" s="7" t="n">
        <f aca="false">IF(P41="y","",C41)</f>
        <v>0.9488</v>
      </c>
      <c r="N41" s="5" t="n">
        <f aca="false">MIN(5,N40+1)</f>
        <v>5</v>
      </c>
      <c r="O41" s="5" t="str">
        <f aca="false">IF(C41&gt;=G41,"Yes","No")</f>
        <v>No</v>
      </c>
      <c r="P41" s="57"/>
    </row>
    <row r="44" customFormat="false" ht="15" hidden="false" customHeight="false" outlineLevel="0" collapsed="false">
      <c r="A44" s="70" t="s">
        <v>53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</row>
    <row r="46" customFormat="false" ht="15" hidden="false" customHeight="false" outlineLevel="0" collapsed="false">
      <c r="A46" s="71" t="s">
        <v>54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</row>
    <row r="47" customFormat="false" ht="15" hidden="false" customHeight="true" outlineLevel="0" collapsed="false">
      <c r="A47" s="72" t="s">
        <v>75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</row>
    <row r="48" customFormat="false" ht="15" hidden="false" customHeight="false" outlineLevel="0" collapsed="false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</row>
    <row r="49" customFormat="false" ht="15" hidden="false" customHeight="false" outlineLevel="0" collapsed="false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</row>
    <row r="52" customFormat="false" ht="15" hidden="false" customHeight="false" outlineLevel="0" collapsed="false">
      <c r="A52" s="71" t="s">
        <v>56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</row>
    <row r="53" customFormat="false" ht="15" hidden="false" customHeight="true" outlineLevel="0" collapsed="false">
      <c r="A53" s="72" t="s">
        <v>76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</row>
    <row r="54" customFormat="false" ht="15" hidden="false" customHeight="false" outlineLevel="0" collapsed="false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</row>
    <row r="55" customFormat="false" ht="15" hidden="false" customHeight="false" outlineLevel="0" collapsed="false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</row>
  </sheetData>
  <mergeCells count="8">
    <mergeCell ref="A1:O1"/>
    <mergeCell ref="A2:O2"/>
    <mergeCell ref="R4:S4"/>
    <mergeCell ref="A44:O44"/>
    <mergeCell ref="A46:O46"/>
    <mergeCell ref="A47:O49"/>
    <mergeCell ref="A52:O52"/>
    <mergeCell ref="A53:O55"/>
  </mergeCells>
  <conditionalFormatting sqref="K5:K41">
    <cfRule type="cellIs" priority="2" operator="equal" aboveAverage="0" equalAverage="0" bottom="0" percent="0" rank="0" text="" dxfId="0">
      <formula>1</formula>
    </cfRule>
  </conditionalFormatting>
  <conditionalFormatting sqref="O5:O41"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73" t="s">
        <v>77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</row>
    <row r="2" customFormat="false" ht="15" hidden="false" customHeight="false" outlineLevel="0" collapsed="false">
      <c r="A2" s="2" t="s">
        <v>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74" t="s">
        <v>79</v>
      </c>
    </row>
    <row r="24" customFormat="false" ht="15" hidden="false" customHeight="false" outlineLevel="0" collapsed="false">
      <c r="A24" s="74" t="s">
        <v>12</v>
      </c>
    </row>
    <row r="44" customFormat="false" ht="15" hidden="false" customHeight="false" outlineLevel="0" collapsed="false">
      <c r="A44" s="74" t="s">
        <v>80</v>
      </c>
    </row>
    <row r="64" customFormat="false" ht="15" hidden="false" customHeight="false" outlineLevel="0" collapsed="false">
      <c r="A64" s="74" t="s">
        <v>81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2026-07-13T17:45:27Z</dcterms:created>
  <dc:creator>openpyxl</dc:creator>
  <dc:description/>
  <dc:language>en-US</dc:language>
  <cp:lastModifiedBy/>
  <dcterms:modified xsi:type="dcterms:W3CDTF">2026-07-20T06:49:17Z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