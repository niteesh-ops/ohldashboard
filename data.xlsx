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9AF98C4C-CCE3-4475-940A-82CF10832670}" xr6:coauthVersionLast="47" xr6:coauthVersionMax="47" xr10:uidLastSave="{00000000-0000-0000-0000-000000000000}"/>
  <bookViews>
    <workbookView xWindow="20" yWindow="20" windowWidth="19180" windowHeight="10060" tabRatio="1000" activeTab="1" xr2:uid="{00000000-000D-0000-FFFF-FFFF00000000}"/>
  </bookViews>
  <sheets>
    <sheet name="Summary" sheetId="1" r:id="rId1"/>
    <sheet name="Raw-Data" sheetId="2" r:id="rId2"/>
    <sheet name="HSR Arrival OT" sheetId="3" r:id="rId3"/>
    <sheet name="HSR Availability" sheetId="4" r:id="rId4"/>
    <sheet name="Central Arrival OT" sheetId="5" r:id="rId5"/>
    <sheet name="Central Availability" sheetId="6" r:id="rId6"/>
    <sheet name="Combined Arrival OT" sheetId="7" r:id="rId7"/>
    <sheet name="Combined Availability" sheetId="8" r:id="rId8"/>
    <sheet name="BLR City Arrival OT" sheetId="9" r:id="rId9"/>
    <sheet name="Graph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8" i="9" l="1"/>
  <c r="O38" i="9" s="1"/>
  <c r="C37" i="9"/>
  <c r="O37" i="9" s="1"/>
  <c r="C36" i="9"/>
  <c r="M36" i="9" s="1"/>
  <c r="C35" i="9"/>
  <c r="C34" i="9"/>
  <c r="M34" i="9" s="1"/>
  <c r="C33" i="9"/>
  <c r="O33" i="9" s="1"/>
  <c r="C32" i="9"/>
  <c r="C31" i="9"/>
  <c r="O31" i="9" s="1"/>
  <c r="C30" i="9"/>
  <c r="O30" i="9" s="1"/>
  <c r="C29" i="9"/>
  <c r="O29" i="9" s="1"/>
  <c r="C28" i="9"/>
  <c r="M28" i="9" s="1"/>
  <c r="C27" i="9"/>
  <c r="O27" i="9" s="1"/>
  <c r="C26" i="9"/>
  <c r="O26" i="9" s="1"/>
  <c r="C25" i="9"/>
  <c r="O25" i="9" s="1"/>
  <c r="C24" i="9"/>
  <c r="O24" i="9" s="1"/>
  <c r="C23" i="9"/>
  <c r="O23" i="9" s="1"/>
  <c r="C22" i="9"/>
  <c r="M22" i="9" s="1"/>
  <c r="C21" i="9"/>
  <c r="M21" i="9" s="1"/>
  <c r="C20" i="9"/>
  <c r="C19" i="9"/>
  <c r="O19" i="9" s="1"/>
  <c r="C18" i="9"/>
  <c r="O18" i="9" s="1"/>
  <c r="C17" i="9"/>
  <c r="C16" i="9"/>
  <c r="M16" i="9" s="1"/>
  <c r="C15" i="9"/>
  <c r="O15" i="9" s="1"/>
  <c r="C14" i="9"/>
  <c r="C13" i="9"/>
  <c r="N12" i="9"/>
  <c r="N13" i="9" s="1"/>
  <c r="N14" i="9" s="1"/>
  <c r="N15" i="9" s="1"/>
  <c r="N16" i="9" s="1"/>
  <c r="N17" i="9" s="1"/>
  <c r="N18" i="9" s="1"/>
  <c r="N19" i="9" s="1"/>
  <c r="N20" i="9" s="1"/>
  <c r="N21" i="9" s="1"/>
  <c r="N22" i="9" s="1"/>
  <c r="N23" i="9" s="1"/>
  <c r="N24" i="9" s="1"/>
  <c r="N25" i="9" s="1"/>
  <c r="N26" i="9" s="1"/>
  <c r="N27" i="9" s="1"/>
  <c r="N28" i="9" s="1"/>
  <c r="N29" i="9" s="1"/>
  <c r="N30" i="9" s="1"/>
  <c r="N31" i="9" s="1"/>
  <c r="N32" i="9" s="1"/>
  <c r="N33" i="9" s="1"/>
  <c r="N34" i="9" s="1"/>
  <c r="N35" i="9" s="1"/>
  <c r="N36" i="9" s="1"/>
  <c r="N37" i="9" s="1"/>
  <c r="N38" i="9" s="1"/>
  <c r="C12" i="9"/>
  <c r="O12" i="9" s="1"/>
  <c r="C11" i="9"/>
  <c r="M11" i="9" s="1"/>
  <c r="C10" i="9"/>
  <c r="C9" i="9"/>
  <c r="C8" i="9"/>
  <c r="O8" i="9" s="1"/>
  <c r="C7" i="9"/>
  <c r="O7" i="9" s="1"/>
  <c r="N6" i="9"/>
  <c r="N7" i="9" s="1"/>
  <c r="N8" i="9" s="1"/>
  <c r="N9" i="9" s="1"/>
  <c r="N10" i="9" s="1"/>
  <c r="N11" i="9" s="1"/>
  <c r="L6" i="9"/>
  <c r="C6" i="9"/>
  <c r="O6" i="9" s="1"/>
  <c r="K5" i="9" a="1"/>
  <c r="K5" i="9" s="1"/>
  <c r="F5" i="9"/>
  <c r="C5" i="9"/>
  <c r="H5" i="9" s="1"/>
  <c r="N12" i="8"/>
  <c r="N13" i="8" s="1"/>
  <c r="N14" i="8" s="1"/>
  <c r="N15" i="8" s="1"/>
  <c r="N16" i="8" s="1"/>
  <c r="N17" i="8" s="1"/>
  <c r="N18" i="8" s="1"/>
  <c r="N19" i="8" s="1"/>
  <c r="N20" i="8" s="1"/>
  <c r="N21" i="8" s="1"/>
  <c r="N22" i="8" s="1"/>
  <c r="N23" i="8" s="1"/>
  <c r="N24" i="8" s="1"/>
  <c r="N25" i="8" s="1"/>
  <c r="N26" i="8" s="1"/>
  <c r="N27" i="8" s="1"/>
  <c r="N28" i="8" s="1"/>
  <c r="N29" i="8" s="1"/>
  <c r="N30" i="8" s="1"/>
  <c r="N31" i="8" s="1"/>
  <c r="N32" i="8" s="1"/>
  <c r="N33" i="8" s="1"/>
  <c r="N34" i="8" s="1"/>
  <c r="N35" i="8" s="1"/>
  <c r="N36" i="8" s="1"/>
  <c r="N37" i="8" s="1"/>
  <c r="N38" i="8" s="1"/>
  <c r="N6" i="8"/>
  <c r="N7" i="8" s="1"/>
  <c r="N8" i="8" s="1"/>
  <c r="N9" i="8" s="1"/>
  <c r="N10" i="8" s="1"/>
  <c r="N11" i="8" s="1"/>
  <c r="K5" i="8" a="1"/>
  <c r="K5" i="8" s="1"/>
  <c r="N7" i="7"/>
  <c r="N8" i="7" s="1"/>
  <c r="N9" i="7" s="1"/>
  <c r="N10" i="7" s="1"/>
  <c r="N11" i="7" s="1"/>
  <c r="N12" i="7" s="1"/>
  <c r="N13" i="7" s="1"/>
  <c r="N14" i="7" s="1"/>
  <c r="N15" i="7" s="1"/>
  <c r="N16" i="7" s="1"/>
  <c r="N17" i="7" s="1"/>
  <c r="N18" i="7" s="1"/>
  <c r="N19" i="7" s="1"/>
  <c r="N20" i="7" s="1"/>
  <c r="N21" i="7" s="1"/>
  <c r="N22" i="7" s="1"/>
  <c r="N23" i="7" s="1"/>
  <c r="N24" i="7" s="1"/>
  <c r="N25" i="7" s="1"/>
  <c r="N26" i="7" s="1"/>
  <c r="N27" i="7" s="1"/>
  <c r="N28" i="7" s="1"/>
  <c r="N29" i="7" s="1"/>
  <c r="N30" i="7" s="1"/>
  <c r="N31" i="7" s="1"/>
  <c r="N32" i="7" s="1"/>
  <c r="N33" i="7" s="1"/>
  <c r="N34" i="7" s="1"/>
  <c r="N35" i="7" s="1"/>
  <c r="N36" i="7" s="1"/>
  <c r="N37" i="7" s="1"/>
  <c r="N38" i="7" s="1"/>
  <c r="N6" i="7"/>
  <c r="L6" i="7"/>
  <c r="K5" i="7" a="1"/>
  <c r="K5" i="7" s="1"/>
  <c r="C33" i="6"/>
  <c r="O33" i="6" s="1"/>
  <c r="B33" i="6"/>
  <c r="A33" i="6"/>
  <c r="C32" i="6"/>
  <c r="O32" i="6" s="1"/>
  <c r="B32" i="6"/>
  <c r="A32" i="6"/>
  <c r="C31" i="6"/>
  <c r="B31" i="6"/>
  <c r="A31" i="6"/>
  <c r="C30" i="6"/>
  <c r="O30" i="6" s="1"/>
  <c r="B30" i="6"/>
  <c r="A30" i="6"/>
  <c r="C29" i="6"/>
  <c r="O29" i="6" s="1"/>
  <c r="B29" i="6"/>
  <c r="A29" i="6"/>
  <c r="C28" i="6"/>
  <c r="M28" i="6" s="1"/>
  <c r="B28" i="6"/>
  <c r="A28" i="6"/>
  <c r="C27" i="6"/>
  <c r="B27" i="6"/>
  <c r="A27" i="6"/>
  <c r="C26" i="6"/>
  <c r="O26" i="6" s="1"/>
  <c r="B26" i="6"/>
  <c r="A26" i="6"/>
  <c r="C25" i="6"/>
  <c r="B25" i="6"/>
  <c r="A25" i="6"/>
  <c r="C24" i="6"/>
  <c r="O24" i="6" s="1"/>
  <c r="B24" i="6"/>
  <c r="A24" i="6"/>
  <c r="C23" i="6"/>
  <c r="O23" i="6" s="1"/>
  <c r="B23" i="6"/>
  <c r="A23" i="6"/>
  <c r="C22" i="6"/>
  <c r="O22" i="6" s="1"/>
  <c r="B22" i="6"/>
  <c r="A22" i="6"/>
  <c r="C21" i="6"/>
  <c r="B21" i="6"/>
  <c r="A21" i="6"/>
  <c r="C20" i="6"/>
  <c r="B20" i="6"/>
  <c r="A20" i="6"/>
  <c r="C19" i="6"/>
  <c r="B19" i="6"/>
  <c r="A19" i="6"/>
  <c r="C18" i="6"/>
  <c r="O18" i="6" s="1"/>
  <c r="B18" i="6"/>
  <c r="A18" i="6"/>
  <c r="C17" i="6"/>
  <c r="B17" i="6"/>
  <c r="A17" i="6"/>
  <c r="C16" i="6"/>
  <c r="O16" i="6" s="1"/>
  <c r="B16" i="6"/>
  <c r="A16" i="6"/>
  <c r="C15" i="6"/>
  <c r="B15" i="6"/>
  <c r="A15" i="6"/>
  <c r="C14" i="6"/>
  <c r="O14" i="6" s="1"/>
  <c r="B14" i="6"/>
  <c r="A14" i="6"/>
  <c r="C13" i="6"/>
  <c r="O13" i="6" s="1"/>
  <c r="B13" i="6"/>
  <c r="A13" i="6"/>
  <c r="C12" i="6"/>
  <c r="M12" i="6" s="1"/>
  <c r="B12" i="6"/>
  <c r="A12" i="6"/>
  <c r="C11" i="6"/>
  <c r="M11" i="6" s="1"/>
  <c r="B11" i="6"/>
  <c r="A11" i="6"/>
  <c r="C10" i="6"/>
  <c r="O10" i="6" s="1"/>
  <c r="B10" i="6"/>
  <c r="A10" i="6"/>
  <c r="N9" i="6"/>
  <c r="N10" i="6" s="1"/>
  <c r="N11" i="6" s="1"/>
  <c r="N12" i="6" s="1"/>
  <c r="N13" i="6" s="1"/>
  <c r="N14" i="6" s="1"/>
  <c r="N15" i="6" s="1"/>
  <c r="N16" i="6" s="1"/>
  <c r="N17" i="6" s="1"/>
  <c r="N18" i="6" s="1"/>
  <c r="N19" i="6" s="1"/>
  <c r="N20" i="6" s="1"/>
  <c r="N21" i="6" s="1"/>
  <c r="N22" i="6" s="1"/>
  <c r="N23" i="6" s="1"/>
  <c r="N24" i="6" s="1"/>
  <c r="N25" i="6" s="1"/>
  <c r="N26" i="6" s="1"/>
  <c r="N27" i="6" s="1"/>
  <c r="N28" i="6" s="1"/>
  <c r="N29" i="6" s="1"/>
  <c r="N30" i="6" s="1"/>
  <c r="N31" i="6" s="1"/>
  <c r="N32" i="6" s="1"/>
  <c r="N33" i="6" s="1"/>
  <c r="C9" i="6"/>
  <c r="M9" i="6" s="1"/>
  <c r="B9" i="6"/>
  <c r="A9" i="6"/>
  <c r="N8" i="6"/>
  <c r="C8" i="6"/>
  <c r="M8" i="6" s="1"/>
  <c r="B8" i="6"/>
  <c r="A8" i="6"/>
  <c r="C7" i="6"/>
  <c r="O7" i="6" s="1"/>
  <c r="B7" i="6"/>
  <c r="A7" i="6"/>
  <c r="N6" i="6"/>
  <c r="N7" i="6" s="1"/>
  <c r="C6" i="6"/>
  <c r="O6" i="6" s="1"/>
  <c r="B6" i="6"/>
  <c r="A6" i="6"/>
  <c r="K5" i="6" a="1"/>
  <c r="K5" i="6"/>
  <c r="L6" i="6" s="1"/>
  <c r="C5" i="6"/>
  <c r="H5" i="6" s="1"/>
  <c r="B5" i="6"/>
  <c r="F5" i="6" s="1"/>
  <c r="A5" i="6"/>
  <c r="C33" i="5"/>
  <c r="O33" i="5" s="1"/>
  <c r="B33" i="5"/>
  <c r="A33" i="5"/>
  <c r="C32" i="5"/>
  <c r="O32" i="5" s="1"/>
  <c r="B32" i="5"/>
  <c r="A32" i="5"/>
  <c r="C31" i="5"/>
  <c r="O31" i="5" s="1"/>
  <c r="B31" i="5"/>
  <c r="A31" i="5"/>
  <c r="C30" i="5"/>
  <c r="O30" i="5" s="1"/>
  <c r="B30" i="5"/>
  <c r="A30" i="5"/>
  <c r="C29" i="5"/>
  <c r="O29" i="5" s="1"/>
  <c r="B29" i="5"/>
  <c r="A29" i="5"/>
  <c r="C28" i="5"/>
  <c r="O28" i="5" s="1"/>
  <c r="B28" i="5"/>
  <c r="A28" i="5"/>
  <c r="C27" i="5"/>
  <c r="B27" i="5"/>
  <c r="A27" i="5"/>
  <c r="C26" i="5"/>
  <c r="B26" i="5"/>
  <c r="A26" i="5"/>
  <c r="C25" i="5"/>
  <c r="O25" i="5" s="1"/>
  <c r="B25" i="5"/>
  <c r="A25" i="5"/>
  <c r="C24" i="5"/>
  <c r="O24" i="5" s="1"/>
  <c r="B24" i="5"/>
  <c r="A24" i="5"/>
  <c r="C23" i="5"/>
  <c r="B23" i="5"/>
  <c r="A23" i="5"/>
  <c r="C22" i="5"/>
  <c r="M22" i="5" s="1"/>
  <c r="B22" i="5"/>
  <c r="A22" i="5"/>
  <c r="C21" i="5"/>
  <c r="O21" i="5" s="1"/>
  <c r="B21" i="5"/>
  <c r="A21" i="5"/>
  <c r="C20" i="5"/>
  <c r="O20" i="5" s="1"/>
  <c r="B20" i="5"/>
  <c r="A20" i="5"/>
  <c r="C19" i="5"/>
  <c r="B19" i="5"/>
  <c r="A19" i="5"/>
  <c r="C18" i="5"/>
  <c r="M18" i="5" s="1"/>
  <c r="B18" i="5"/>
  <c r="A18" i="5"/>
  <c r="C17" i="5"/>
  <c r="O17" i="5" s="1"/>
  <c r="B17" i="5"/>
  <c r="A17" i="5"/>
  <c r="C16" i="5"/>
  <c r="O16" i="5" s="1"/>
  <c r="B16" i="5"/>
  <c r="A16" i="5"/>
  <c r="C15" i="5"/>
  <c r="B15" i="5"/>
  <c r="A15" i="5"/>
  <c r="C14" i="5"/>
  <c r="B14" i="5"/>
  <c r="A14" i="5"/>
  <c r="C13" i="5"/>
  <c r="O13" i="5" s="1"/>
  <c r="B13" i="5"/>
  <c r="A13" i="5"/>
  <c r="N12" i="5"/>
  <c r="N13" i="5" s="1"/>
  <c r="N14" i="5" s="1"/>
  <c r="N15" i="5" s="1"/>
  <c r="N16" i="5" s="1"/>
  <c r="N17" i="5" s="1"/>
  <c r="N18" i="5" s="1"/>
  <c r="N19" i="5" s="1"/>
  <c r="N20" i="5" s="1"/>
  <c r="N21" i="5" s="1"/>
  <c r="N22" i="5" s="1"/>
  <c r="N23" i="5" s="1"/>
  <c r="N24" i="5" s="1"/>
  <c r="N25" i="5" s="1"/>
  <c r="N26" i="5" s="1"/>
  <c r="N27" i="5" s="1"/>
  <c r="N28" i="5" s="1"/>
  <c r="N29" i="5" s="1"/>
  <c r="N30" i="5" s="1"/>
  <c r="N31" i="5" s="1"/>
  <c r="N32" i="5" s="1"/>
  <c r="N33" i="5" s="1"/>
  <c r="C12" i="5"/>
  <c r="O12" i="5" s="1"/>
  <c r="B12" i="5"/>
  <c r="A12" i="5"/>
  <c r="C11" i="5"/>
  <c r="B11" i="5"/>
  <c r="A11" i="5"/>
  <c r="C10" i="5"/>
  <c r="O10" i="5" s="1"/>
  <c r="B10" i="5"/>
  <c r="A10" i="5"/>
  <c r="N9" i="5"/>
  <c r="N10" i="5" s="1"/>
  <c r="N11" i="5" s="1"/>
  <c r="C9" i="5"/>
  <c r="O9" i="5" s="1"/>
  <c r="B9" i="5"/>
  <c r="A9" i="5"/>
  <c r="N8" i="5"/>
  <c r="C8" i="5"/>
  <c r="O8" i="5" s="1"/>
  <c r="B8" i="5"/>
  <c r="A8" i="5"/>
  <c r="N7" i="5"/>
  <c r="C7" i="5"/>
  <c r="O7" i="5" s="1"/>
  <c r="B7" i="5"/>
  <c r="A7" i="5"/>
  <c r="N6" i="5"/>
  <c r="C6" i="5"/>
  <c r="O6" i="5" s="1"/>
  <c r="B6" i="5"/>
  <c r="A6" i="5"/>
  <c r="K5" i="5" a="1"/>
  <c r="K5" i="5" s="1"/>
  <c r="C5" i="5"/>
  <c r="H5" i="5" s="1"/>
  <c r="B5" i="5"/>
  <c r="F5" i="5" s="1"/>
  <c r="A5" i="5"/>
  <c r="C38" i="4"/>
  <c r="O38" i="4" s="1"/>
  <c r="B38" i="4"/>
  <c r="A38" i="4"/>
  <c r="C37" i="4"/>
  <c r="O37" i="4" s="1"/>
  <c r="B37" i="4"/>
  <c r="A37" i="4"/>
  <c r="C36" i="4"/>
  <c r="M36" i="4" s="1"/>
  <c r="B36" i="4"/>
  <c r="A36" i="4"/>
  <c r="C35" i="4"/>
  <c r="O35" i="4" s="1"/>
  <c r="B35" i="4"/>
  <c r="A35" i="4"/>
  <c r="C34" i="4"/>
  <c r="O34" i="4" s="1"/>
  <c r="B34" i="4"/>
  <c r="A34" i="4"/>
  <c r="C33" i="4"/>
  <c r="O33" i="4" s="1"/>
  <c r="B33" i="4"/>
  <c r="A33" i="4"/>
  <c r="C32" i="4"/>
  <c r="B32" i="4"/>
  <c r="A32" i="4"/>
  <c r="C31" i="4"/>
  <c r="O31" i="4" s="1"/>
  <c r="B31" i="4"/>
  <c r="A31" i="4"/>
  <c r="C30" i="4"/>
  <c r="O30" i="4" s="1"/>
  <c r="B30" i="4"/>
  <c r="A30" i="4"/>
  <c r="C29" i="4"/>
  <c r="O29" i="4" s="1"/>
  <c r="B29" i="4"/>
  <c r="A29" i="4"/>
  <c r="C28" i="4"/>
  <c r="B28" i="4"/>
  <c r="A28" i="4"/>
  <c r="C27" i="4"/>
  <c r="O27" i="4" s="1"/>
  <c r="B27" i="4"/>
  <c r="A27" i="4"/>
  <c r="C26" i="4"/>
  <c r="O26" i="4" s="1"/>
  <c r="B26" i="4"/>
  <c r="A26" i="4"/>
  <c r="C25" i="4"/>
  <c r="O25" i="4" s="1"/>
  <c r="B25" i="4"/>
  <c r="A25" i="4"/>
  <c r="C24" i="4"/>
  <c r="B24" i="4"/>
  <c r="A24" i="4"/>
  <c r="C23" i="4"/>
  <c r="O23" i="4" s="1"/>
  <c r="B23" i="4"/>
  <c r="A23" i="4"/>
  <c r="C22" i="4"/>
  <c r="O22" i="4" s="1"/>
  <c r="B22" i="4"/>
  <c r="A22" i="4"/>
  <c r="C21" i="4"/>
  <c r="M21" i="4" s="1"/>
  <c r="B21" i="4"/>
  <c r="A21" i="4"/>
  <c r="C20" i="4"/>
  <c r="M20" i="4" s="1"/>
  <c r="B20" i="4"/>
  <c r="A20" i="4"/>
  <c r="C19" i="4"/>
  <c r="M19" i="4" s="1"/>
  <c r="B19" i="4"/>
  <c r="A19" i="4"/>
  <c r="C18" i="4"/>
  <c r="O18" i="4" s="1"/>
  <c r="B18" i="4"/>
  <c r="A18" i="4"/>
  <c r="C17" i="4"/>
  <c r="O17" i="4" s="1"/>
  <c r="B17" i="4"/>
  <c r="A17" i="4"/>
  <c r="C16" i="4"/>
  <c r="O16" i="4" s="1"/>
  <c r="B16" i="4"/>
  <c r="A16" i="4"/>
  <c r="C15" i="4"/>
  <c r="O15" i="4" s="1"/>
  <c r="B15" i="4"/>
  <c r="A15" i="4"/>
  <c r="C14" i="4"/>
  <c r="O14" i="4" s="1"/>
  <c r="B14" i="4"/>
  <c r="A14" i="4"/>
  <c r="C13" i="4"/>
  <c r="O13" i="4" s="1"/>
  <c r="B13" i="4"/>
  <c r="A13" i="4"/>
  <c r="N12" i="4"/>
  <c r="N13" i="4" s="1"/>
  <c r="N14" i="4" s="1"/>
  <c r="N15" i="4" s="1"/>
  <c r="N16" i="4" s="1"/>
  <c r="N17" i="4" s="1"/>
  <c r="N18" i="4" s="1"/>
  <c r="N19" i="4" s="1"/>
  <c r="N20" i="4" s="1"/>
  <c r="N21" i="4" s="1"/>
  <c r="N22" i="4" s="1"/>
  <c r="N23" i="4" s="1"/>
  <c r="N24" i="4" s="1"/>
  <c r="N25" i="4" s="1"/>
  <c r="N26" i="4" s="1"/>
  <c r="N27" i="4" s="1"/>
  <c r="N28" i="4" s="1"/>
  <c r="N29" i="4" s="1"/>
  <c r="N30" i="4" s="1"/>
  <c r="N31" i="4" s="1"/>
  <c r="N32" i="4" s="1"/>
  <c r="N33" i="4" s="1"/>
  <c r="N34" i="4" s="1"/>
  <c r="N35" i="4" s="1"/>
  <c r="N36" i="4" s="1"/>
  <c r="N37" i="4" s="1"/>
  <c r="N38" i="4" s="1"/>
  <c r="C12" i="4"/>
  <c r="O12" i="4" s="1"/>
  <c r="B12" i="4"/>
  <c r="A12" i="4"/>
  <c r="C11" i="4"/>
  <c r="B11" i="4"/>
  <c r="A11" i="4"/>
  <c r="C10" i="4"/>
  <c r="O10" i="4" s="1"/>
  <c r="B10" i="4"/>
  <c r="A10" i="4"/>
  <c r="C9" i="4"/>
  <c r="O9" i="4" s="1"/>
  <c r="B9" i="4"/>
  <c r="A9" i="4"/>
  <c r="C8" i="4"/>
  <c r="B8" i="4"/>
  <c r="A8" i="4"/>
  <c r="C7" i="4"/>
  <c r="B7" i="4"/>
  <c r="A7" i="4"/>
  <c r="N6" i="4"/>
  <c r="N7" i="4" s="1"/>
  <c r="N8" i="4" s="1"/>
  <c r="N9" i="4" s="1"/>
  <c r="N10" i="4" s="1"/>
  <c r="N11" i="4" s="1"/>
  <c r="C6" i="4"/>
  <c r="O6" i="4" s="1"/>
  <c r="B6" i="4"/>
  <c r="A6" i="4"/>
  <c r="K5" i="4" a="1"/>
  <c r="K5" i="4" s="1"/>
  <c r="D6" i="4" s="1"/>
  <c r="C5" i="4"/>
  <c r="B5" i="4"/>
  <c r="F5" i="4" s="1"/>
  <c r="A5" i="4"/>
  <c r="C38" i="3"/>
  <c r="O38" i="3" s="1"/>
  <c r="B38" i="3"/>
  <c r="A38" i="3"/>
  <c r="C37" i="3"/>
  <c r="O37" i="3" s="1"/>
  <c r="B37" i="3"/>
  <c r="A37" i="3"/>
  <c r="C36" i="3"/>
  <c r="M36" i="3" s="1"/>
  <c r="B36" i="3"/>
  <c r="A36" i="3"/>
  <c r="C35" i="3"/>
  <c r="O35" i="3" s="1"/>
  <c r="B35" i="3"/>
  <c r="A35" i="3"/>
  <c r="C34" i="3"/>
  <c r="O34" i="3" s="1"/>
  <c r="B34" i="3"/>
  <c r="A34" i="3"/>
  <c r="C33" i="3"/>
  <c r="O33" i="3" s="1"/>
  <c r="B33" i="3"/>
  <c r="A33" i="3"/>
  <c r="C32" i="3"/>
  <c r="M32" i="3" s="1"/>
  <c r="B32" i="3"/>
  <c r="A32" i="3"/>
  <c r="C31" i="3"/>
  <c r="O31" i="3" s="1"/>
  <c r="B31" i="3"/>
  <c r="A31" i="3"/>
  <c r="C30" i="3"/>
  <c r="O30" i="3" s="1"/>
  <c r="B30" i="3"/>
  <c r="A30" i="3"/>
  <c r="C29" i="3"/>
  <c r="O29" i="3" s="1"/>
  <c r="B29" i="3"/>
  <c r="A29" i="3"/>
  <c r="C28" i="3"/>
  <c r="M28" i="3" s="1"/>
  <c r="B28" i="3"/>
  <c r="A28" i="3"/>
  <c r="C27" i="3"/>
  <c r="O27" i="3" s="1"/>
  <c r="B27" i="3"/>
  <c r="A27" i="3"/>
  <c r="C26" i="3"/>
  <c r="O26" i="3" s="1"/>
  <c r="B26" i="3"/>
  <c r="A26" i="3"/>
  <c r="C25" i="3"/>
  <c r="O25" i="3" s="1"/>
  <c r="B25" i="3"/>
  <c r="A25" i="3"/>
  <c r="C24" i="3"/>
  <c r="B24" i="3"/>
  <c r="A24" i="3"/>
  <c r="C23" i="3"/>
  <c r="O23" i="3" s="1"/>
  <c r="B23" i="3"/>
  <c r="A23" i="3"/>
  <c r="C22" i="3"/>
  <c r="O22" i="3" s="1"/>
  <c r="B22" i="3"/>
  <c r="A22" i="3"/>
  <c r="C21" i="3"/>
  <c r="O21" i="3" s="1"/>
  <c r="B21" i="3"/>
  <c r="A21" i="3"/>
  <c r="C20" i="3"/>
  <c r="O20" i="3" s="1"/>
  <c r="B20" i="3"/>
  <c r="A20" i="3"/>
  <c r="C19" i="3"/>
  <c r="B19" i="3"/>
  <c r="A19" i="3"/>
  <c r="C18" i="3"/>
  <c r="O18" i="3" s="1"/>
  <c r="B18" i="3"/>
  <c r="A18" i="3"/>
  <c r="C17" i="3"/>
  <c r="O17" i="3" s="1"/>
  <c r="B17" i="3"/>
  <c r="A17" i="3"/>
  <c r="C16" i="3"/>
  <c r="O16" i="3" s="1"/>
  <c r="B16" i="3"/>
  <c r="A16" i="3"/>
  <c r="C15" i="3"/>
  <c r="B15" i="3"/>
  <c r="A15" i="3"/>
  <c r="C14" i="3"/>
  <c r="O14" i="3" s="1"/>
  <c r="B14" i="3"/>
  <c r="A14" i="3"/>
  <c r="C13" i="3"/>
  <c r="O13" i="3" s="1"/>
  <c r="B13" i="3"/>
  <c r="A13" i="3"/>
  <c r="C12" i="3"/>
  <c r="O12" i="3" s="1"/>
  <c r="B12" i="3"/>
  <c r="A12" i="3"/>
  <c r="C11" i="3"/>
  <c r="O11" i="3" s="1"/>
  <c r="B11" i="3"/>
  <c r="A11" i="3"/>
  <c r="C10" i="3"/>
  <c r="O10" i="3" s="1"/>
  <c r="B10" i="3"/>
  <c r="A10" i="3"/>
  <c r="C9" i="3"/>
  <c r="O9" i="3" s="1"/>
  <c r="B9" i="3"/>
  <c r="A9" i="3"/>
  <c r="C8" i="3"/>
  <c r="O8" i="3" s="1"/>
  <c r="B8" i="3"/>
  <c r="A8" i="3"/>
  <c r="C7" i="3"/>
  <c r="O7" i="3" s="1"/>
  <c r="B7" i="3"/>
  <c r="A7" i="3"/>
  <c r="N6" i="3"/>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E6" i="3"/>
  <c r="D6" i="3"/>
  <c r="C6" i="3"/>
  <c r="M6" i="3" s="1"/>
  <c r="B6" i="3"/>
  <c r="A6" i="3"/>
  <c r="K5" i="3" a="1"/>
  <c r="K5" i="3" s="1"/>
  <c r="C5" i="3"/>
  <c r="H5" i="3" s="1"/>
  <c r="B5" i="3"/>
  <c r="F5" i="3" s="1"/>
  <c r="A5" i="3"/>
  <c r="F39" i="2"/>
  <c r="E39" i="2"/>
  <c r="B39" i="2"/>
  <c r="A39" i="2"/>
  <c r="F38" i="2"/>
  <c r="E38" i="2"/>
  <c r="B38" i="2"/>
  <c r="A38" i="2"/>
  <c r="F37" i="2"/>
  <c r="E37" i="2"/>
  <c r="B37" i="2"/>
  <c r="A37" i="2"/>
  <c r="F36" i="2"/>
  <c r="E36" i="2"/>
  <c r="B36" i="2"/>
  <c r="A36" i="2"/>
  <c r="F35" i="2"/>
  <c r="E35" i="2"/>
  <c r="B35" i="2"/>
  <c r="A35" i="2"/>
  <c r="F34" i="2"/>
  <c r="E34" i="2"/>
  <c r="B34" i="2"/>
  <c r="D34" i="2" s="1"/>
  <c r="C10" i="8" s="1"/>
  <c r="A34" i="2"/>
  <c r="F33" i="2"/>
  <c r="E33" i="2"/>
  <c r="B33" i="2"/>
  <c r="A33" i="2"/>
  <c r="F32" i="2"/>
  <c r="E32" i="2"/>
  <c r="B32" i="2"/>
  <c r="D32" i="2" s="1"/>
  <c r="C12" i="8" s="1"/>
  <c r="O12" i="8" s="1"/>
  <c r="A32" i="2"/>
  <c r="F31" i="2"/>
  <c r="E31" i="2"/>
  <c r="B31" i="2"/>
  <c r="A31" i="2"/>
  <c r="A13" i="8" s="1"/>
  <c r="F30" i="2"/>
  <c r="E30" i="2"/>
  <c r="B30" i="2"/>
  <c r="A30" i="2"/>
  <c r="F29" i="2"/>
  <c r="E29" i="2"/>
  <c r="B29" i="2"/>
  <c r="A29" i="2"/>
  <c r="F28" i="2"/>
  <c r="E28" i="2"/>
  <c r="B28" i="2"/>
  <c r="A28" i="2"/>
  <c r="F27" i="2"/>
  <c r="E27" i="2"/>
  <c r="B27" i="2"/>
  <c r="A27" i="2"/>
  <c r="F26" i="2"/>
  <c r="E26" i="2"/>
  <c r="B26" i="2"/>
  <c r="D26" i="2" s="1"/>
  <c r="C18" i="8" s="1"/>
  <c r="A26" i="2"/>
  <c r="F25" i="2"/>
  <c r="E25" i="2"/>
  <c r="B25" i="2"/>
  <c r="B19" i="7" s="1"/>
  <c r="A25" i="2"/>
  <c r="F24" i="2"/>
  <c r="E24" i="2"/>
  <c r="B24" i="2"/>
  <c r="D24" i="2" s="1"/>
  <c r="C20" i="8" s="1"/>
  <c r="A24" i="2"/>
  <c r="F23" i="2"/>
  <c r="E23" i="2"/>
  <c r="B23" i="2"/>
  <c r="A23" i="2"/>
  <c r="F22" i="2"/>
  <c r="E22" i="2"/>
  <c r="B22" i="2"/>
  <c r="A22" i="2"/>
  <c r="F21" i="2"/>
  <c r="E21" i="2"/>
  <c r="B21" i="2"/>
  <c r="A21" i="2"/>
  <c r="F20" i="2"/>
  <c r="E20" i="2"/>
  <c r="B20" i="2"/>
  <c r="D20" i="2" s="1"/>
  <c r="C24" i="8" s="1"/>
  <c r="A20" i="2"/>
  <c r="F19" i="2"/>
  <c r="E19" i="2"/>
  <c r="B19" i="2"/>
  <c r="C19" i="2" s="1"/>
  <c r="C25" i="7" s="1"/>
  <c r="A19" i="2"/>
  <c r="F18" i="2"/>
  <c r="E18" i="2"/>
  <c r="B18" i="2"/>
  <c r="D18" i="2" s="1"/>
  <c r="C26" i="8" s="1"/>
  <c r="A18" i="2"/>
  <c r="F17" i="2"/>
  <c r="E17" i="2"/>
  <c r="B17" i="2"/>
  <c r="B27" i="8" s="1"/>
  <c r="A17" i="2"/>
  <c r="A27" i="7" s="1"/>
  <c r="F16" i="2"/>
  <c r="E16" i="2"/>
  <c r="B16" i="2"/>
  <c r="D16" i="2" s="1"/>
  <c r="C28" i="8" s="1"/>
  <c r="A16" i="2"/>
  <c r="F15" i="2"/>
  <c r="E15" i="2"/>
  <c r="B15" i="2"/>
  <c r="A15" i="2"/>
  <c r="F14" i="2"/>
  <c r="E14" i="2"/>
  <c r="B14" i="2"/>
  <c r="A14" i="2"/>
  <c r="F13" i="2"/>
  <c r="E13" i="2"/>
  <c r="B13" i="2"/>
  <c r="A13" i="2"/>
  <c r="A31" i="8" s="1"/>
  <c r="F12" i="2"/>
  <c r="E12" i="2"/>
  <c r="B12" i="2"/>
  <c r="D12" i="2" s="1"/>
  <c r="C32" i="8" s="1"/>
  <c r="A12" i="2"/>
  <c r="F11" i="2"/>
  <c r="E11" i="2"/>
  <c r="B11" i="2"/>
  <c r="A11" i="2"/>
  <c r="F10" i="2"/>
  <c r="E10" i="2"/>
  <c r="B10" i="2"/>
  <c r="D10" i="2" s="1"/>
  <c r="C34" i="8" s="1"/>
  <c r="A10" i="2"/>
  <c r="F9" i="2"/>
  <c r="E9" i="2"/>
  <c r="B9" i="2"/>
  <c r="A9" i="2"/>
  <c r="F8" i="2"/>
  <c r="E8" i="2"/>
  <c r="B8" i="2"/>
  <c r="D8" i="2" s="1"/>
  <c r="C36" i="8" s="1"/>
  <c r="A8" i="2"/>
  <c r="F7" i="2"/>
  <c r="E7" i="2"/>
  <c r="B7" i="2"/>
  <c r="A7" i="2"/>
  <c r="F6" i="2"/>
  <c r="B6" i="2"/>
  <c r="A6" i="2"/>
  <c r="C11" i="1"/>
  <c r="C10" i="1"/>
  <c r="C9" i="1"/>
  <c r="C8" i="1"/>
  <c r="C7" i="1"/>
  <c r="C6" i="1"/>
  <c r="C5" i="1"/>
  <c r="M21" i="3" l="1"/>
  <c r="O6" i="3"/>
  <c r="M34" i="4"/>
  <c r="M8" i="5"/>
  <c r="M18" i="6"/>
  <c r="O12" i="6"/>
  <c r="O5" i="3"/>
  <c r="O21" i="9"/>
  <c r="M30" i="3"/>
  <c r="M5" i="5"/>
  <c r="O28" i="6"/>
  <c r="M27" i="3"/>
  <c r="O5" i="5"/>
  <c r="M7" i="3"/>
  <c r="M18" i="4"/>
  <c r="M5" i="3"/>
  <c r="M33" i="3"/>
  <c r="O9" i="6"/>
  <c r="M31" i="5"/>
  <c r="M10" i="3"/>
  <c r="M15" i="4"/>
  <c r="M6" i="9"/>
  <c r="M5" i="6"/>
  <c r="O8" i="6"/>
  <c r="M26" i="3"/>
  <c r="M33" i="4"/>
  <c r="M20" i="5"/>
  <c r="M24" i="9"/>
  <c r="M38" i="3"/>
  <c r="M24" i="5"/>
  <c r="M30" i="5"/>
  <c r="M6" i="6"/>
  <c r="M18" i="9"/>
  <c r="M14" i="3"/>
  <c r="O20" i="4"/>
  <c r="M24" i="6"/>
  <c r="M30" i="6"/>
  <c r="M33" i="9"/>
  <c r="M8" i="3"/>
  <c r="M11" i="3"/>
  <c r="M37" i="4"/>
  <c r="M28" i="5"/>
  <c r="M23" i="3"/>
  <c r="M10" i="4"/>
  <c r="M26" i="4"/>
  <c r="M29" i="3"/>
  <c r="M17" i="4"/>
  <c r="O11" i="6"/>
  <c r="M17" i="3"/>
  <c r="M30" i="4"/>
  <c r="F6" i="3"/>
  <c r="M38" i="4"/>
  <c r="M6" i="5"/>
  <c r="M7" i="6"/>
  <c r="M15" i="9"/>
  <c r="M22" i="3"/>
  <c r="M29" i="5"/>
  <c r="M16" i="3"/>
  <c r="M34" i="3"/>
  <c r="M37" i="3"/>
  <c r="M16" i="4"/>
  <c r="M9" i="5"/>
  <c r="O5" i="6"/>
  <c r="M10" i="6"/>
  <c r="M16" i="6"/>
  <c r="M26" i="6"/>
  <c r="M29" i="6"/>
  <c r="B27" i="7"/>
  <c r="M18" i="3"/>
  <c r="M22" i="6"/>
  <c r="M25" i="3"/>
  <c r="M25" i="4"/>
  <c r="M12" i="5"/>
  <c r="M7" i="9"/>
  <c r="M13" i="3"/>
  <c r="M6" i="4"/>
  <c r="O19" i="4"/>
  <c r="M22" i="4"/>
  <c r="M29" i="4"/>
  <c r="M16" i="5"/>
  <c r="M32" i="5"/>
  <c r="M13" i="6"/>
  <c r="M23" i="6"/>
  <c r="M30" i="9"/>
  <c r="M38" i="9"/>
  <c r="F6" i="4"/>
  <c r="M24" i="8"/>
  <c r="O24" i="8"/>
  <c r="O32" i="8"/>
  <c r="M32" i="8"/>
  <c r="A8" i="9"/>
  <c r="A8" i="8"/>
  <c r="A8" i="7"/>
  <c r="B16" i="8"/>
  <c r="C28" i="2"/>
  <c r="C16" i="7" s="1"/>
  <c r="S10" i="3"/>
  <c r="O32" i="4"/>
  <c r="M32" i="4"/>
  <c r="A34" i="9"/>
  <c r="A34" i="8"/>
  <c r="A34" i="7"/>
  <c r="A26" i="7"/>
  <c r="A26" i="9"/>
  <c r="A26" i="8"/>
  <c r="A18" i="9"/>
  <c r="A18" i="7"/>
  <c r="A18" i="8"/>
  <c r="A10" i="8"/>
  <c r="A10" i="7"/>
  <c r="A10" i="9"/>
  <c r="S9" i="3"/>
  <c r="D5" i="1" s="1"/>
  <c r="M20" i="3"/>
  <c r="O19" i="5"/>
  <c r="M19" i="5"/>
  <c r="B34" i="8"/>
  <c r="B34" i="7"/>
  <c r="C10" i="2"/>
  <c r="C34" i="7" s="1"/>
  <c r="B26" i="7"/>
  <c r="B26" i="8"/>
  <c r="C18" i="2"/>
  <c r="C26" i="7" s="1"/>
  <c r="B18" i="7"/>
  <c r="B18" i="8"/>
  <c r="C26" i="2"/>
  <c r="C18" i="7" s="1"/>
  <c r="B10" i="8"/>
  <c r="B10" i="7"/>
  <c r="C34" i="2"/>
  <c r="C10" i="7" s="1"/>
  <c r="M15" i="3"/>
  <c r="A32" i="9"/>
  <c r="A32" i="8"/>
  <c r="A32" i="7"/>
  <c r="A24" i="9"/>
  <c r="A24" i="8"/>
  <c r="A24" i="7"/>
  <c r="B32" i="8"/>
  <c r="B32" i="7"/>
  <c r="C12" i="2"/>
  <c r="C32" i="7" s="1"/>
  <c r="B8" i="8"/>
  <c r="B8" i="7"/>
  <c r="C36" i="2"/>
  <c r="C8" i="7" s="1"/>
  <c r="D36" i="2"/>
  <c r="C8" i="8" s="1"/>
  <c r="O18" i="8"/>
  <c r="M18" i="8"/>
  <c r="M24" i="3"/>
  <c r="A36" i="9"/>
  <c r="A36" i="7"/>
  <c r="A36" i="8"/>
  <c r="A28" i="8"/>
  <c r="A28" i="9"/>
  <c r="A28" i="7"/>
  <c r="A20" i="9"/>
  <c r="A20" i="8"/>
  <c r="A20" i="7"/>
  <c r="O15" i="3"/>
  <c r="O28" i="3"/>
  <c r="B16" i="7"/>
  <c r="B36" i="8"/>
  <c r="B36" i="7"/>
  <c r="C8" i="2"/>
  <c r="C36" i="7" s="1"/>
  <c r="B28" i="8"/>
  <c r="B28" i="7"/>
  <c r="C16" i="2"/>
  <c r="C28" i="7" s="1"/>
  <c r="B20" i="8"/>
  <c r="B20" i="7"/>
  <c r="C24" i="2"/>
  <c r="C20" i="7" s="1"/>
  <c r="B12" i="8"/>
  <c r="B12" i="7"/>
  <c r="C32" i="2"/>
  <c r="C12" i="7" s="1"/>
  <c r="H6" i="3"/>
  <c r="J6" i="3" s="1"/>
  <c r="O32" i="3"/>
  <c r="O36" i="3"/>
  <c r="A16" i="8"/>
  <c r="A16" i="9"/>
  <c r="A16" i="7"/>
  <c r="L6" i="4"/>
  <c r="B24" i="7"/>
  <c r="B24" i="8"/>
  <c r="C20" i="2"/>
  <c r="C24" i="7" s="1"/>
  <c r="M13" i="4"/>
  <c r="E6" i="5"/>
  <c r="D6" i="5"/>
  <c r="L6" i="5"/>
  <c r="D28" i="2"/>
  <c r="C16" i="8" s="1"/>
  <c r="O10" i="8"/>
  <c r="M10" i="8"/>
  <c r="E6" i="4"/>
  <c r="H6" i="4" s="1"/>
  <c r="A12" i="9"/>
  <c r="A12" i="8"/>
  <c r="A12" i="7"/>
  <c r="O24" i="3"/>
  <c r="O28" i="4"/>
  <c r="M28" i="4"/>
  <c r="O36" i="8"/>
  <c r="M36" i="8"/>
  <c r="O28" i="8"/>
  <c r="M28" i="8"/>
  <c r="O20" i="8"/>
  <c r="M20" i="8"/>
  <c r="M12" i="8"/>
  <c r="M9" i="3"/>
  <c r="M19" i="3"/>
  <c r="O34" i="8"/>
  <c r="M34" i="8"/>
  <c r="A38" i="9"/>
  <c r="A38" i="7"/>
  <c r="A38" i="8"/>
  <c r="A30" i="9"/>
  <c r="A30" i="7"/>
  <c r="A30" i="8"/>
  <c r="M25" i="7"/>
  <c r="O25" i="7"/>
  <c r="A22" i="8"/>
  <c r="A22" i="7"/>
  <c r="A22" i="9"/>
  <c r="A14" i="8"/>
  <c r="A14" i="9"/>
  <c r="A14" i="7"/>
  <c r="A6" i="9"/>
  <c r="A6" i="7"/>
  <c r="A6" i="8"/>
  <c r="O26" i="8"/>
  <c r="M26" i="8"/>
  <c r="O8" i="4"/>
  <c r="M8" i="4"/>
  <c r="B6" i="8"/>
  <c r="B6" i="7"/>
  <c r="C38" i="2"/>
  <c r="C6" i="7" s="1"/>
  <c r="O19" i="3"/>
  <c r="S9" i="4"/>
  <c r="D6" i="1" s="1"/>
  <c r="O5" i="4"/>
  <c r="H5" i="4"/>
  <c r="M5" i="4"/>
  <c r="S10" i="4"/>
  <c r="M12" i="3"/>
  <c r="B38" i="8"/>
  <c r="B38" i="7"/>
  <c r="C6" i="2"/>
  <c r="C38" i="7" s="1"/>
  <c r="B30" i="7"/>
  <c r="B30" i="8"/>
  <c r="C14" i="2"/>
  <c r="C30" i="7" s="1"/>
  <c r="B22" i="8"/>
  <c r="B22" i="7"/>
  <c r="C22" i="2"/>
  <c r="C22" i="7" s="1"/>
  <c r="B14" i="8"/>
  <c r="B14" i="7"/>
  <c r="C30" i="2"/>
  <c r="C14" i="7" s="1"/>
  <c r="D6" i="2"/>
  <c r="C38" i="8" s="1"/>
  <c r="D14" i="2"/>
  <c r="C30" i="8" s="1"/>
  <c r="D22" i="2"/>
  <c r="C22" i="8" s="1"/>
  <c r="D30" i="2"/>
  <c r="C14" i="8" s="1"/>
  <c r="D38" i="2"/>
  <c r="C6" i="8" s="1"/>
  <c r="L6" i="3"/>
  <c r="M31" i="3"/>
  <c r="M35" i="3"/>
  <c r="O7" i="4"/>
  <c r="M7" i="4"/>
  <c r="O24" i="4"/>
  <c r="M24" i="4"/>
  <c r="O15" i="5"/>
  <c r="M15" i="5"/>
  <c r="M21" i="6"/>
  <c r="O21" i="6"/>
  <c r="O11" i="5"/>
  <c r="M11" i="5"/>
  <c r="O36" i="4"/>
  <c r="O17" i="6"/>
  <c r="M17" i="6"/>
  <c r="O22" i="5"/>
  <c r="A37" i="9"/>
  <c r="A37" i="8"/>
  <c r="A37" i="7"/>
  <c r="A35" i="9"/>
  <c r="A35" i="8"/>
  <c r="A35" i="7"/>
  <c r="A33" i="9"/>
  <c r="A33" i="7"/>
  <c r="A33" i="8"/>
  <c r="A31" i="9"/>
  <c r="A31" i="7"/>
  <c r="A29" i="9"/>
  <c r="A29" i="8"/>
  <c r="A29" i="7"/>
  <c r="A27" i="8"/>
  <c r="A27" i="9"/>
  <c r="A25" i="9"/>
  <c r="A25" i="7"/>
  <c r="A25" i="8"/>
  <c r="A23" i="9"/>
  <c r="A23" i="8"/>
  <c r="A23" i="7"/>
  <c r="A21" i="8"/>
  <c r="A21" i="9"/>
  <c r="A21" i="7"/>
  <c r="A19" i="9"/>
  <c r="A19" i="7"/>
  <c r="A19" i="8"/>
  <c r="A17" i="9"/>
  <c r="A17" i="8"/>
  <c r="A17" i="7"/>
  <c r="A15" i="9"/>
  <c r="A15" i="8"/>
  <c r="A15" i="7"/>
  <c r="A13" i="9"/>
  <c r="A13" i="7"/>
  <c r="A11" i="7"/>
  <c r="A11" i="8"/>
  <c r="A11" i="9"/>
  <c r="A9" i="9"/>
  <c r="A9" i="8"/>
  <c r="A9" i="7"/>
  <c r="A7" i="9"/>
  <c r="A7" i="8"/>
  <c r="A7" i="7"/>
  <c r="A5" i="8"/>
  <c r="A5" i="7"/>
  <c r="A5" i="9"/>
  <c r="O18" i="5"/>
  <c r="B37" i="7"/>
  <c r="B37" i="8"/>
  <c r="B35" i="7"/>
  <c r="B35" i="8"/>
  <c r="B33" i="7"/>
  <c r="B33" i="8"/>
  <c r="B31" i="7"/>
  <c r="B31" i="8"/>
  <c r="B29" i="8"/>
  <c r="B29" i="7"/>
  <c r="B21" i="8"/>
  <c r="B21" i="7"/>
  <c r="B17" i="7"/>
  <c r="B17" i="8"/>
  <c r="B15" i="8"/>
  <c r="B15" i="7"/>
  <c r="B13" i="8"/>
  <c r="B13" i="7"/>
  <c r="B11" i="8"/>
  <c r="B11" i="7"/>
  <c r="B9" i="8"/>
  <c r="B9" i="7"/>
  <c r="B7" i="8"/>
  <c r="B7" i="7"/>
  <c r="B5" i="8"/>
  <c r="F5" i="8" s="1"/>
  <c r="B5" i="7"/>
  <c r="F5" i="7" s="1"/>
  <c r="M14" i="4"/>
  <c r="O27" i="5"/>
  <c r="M27" i="5"/>
  <c r="B19" i="8"/>
  <c r="O10" i="9"/>
  <c r="M10" i="9"/>
  <c r="B23" i="7"/>
  <c r="B23" i="8"/>
  <c r="C7" i="2"/>
  <c r="C37" i="7" s="1"/>
  <c r="C9" i="2"/>
  <c r="C35" i="7" s="1"/>
  <c r="C11" i="2"/>
  <c r="C33" i="7" s="1"/>
  <c r="C13" i="2"/>
  <c r="C31" i="7" s="1"/>
  <c r="C15" i="2"/>
  <c r="C29" i="7" s="1"/>
  <c r="C17" i="2"/>
  <c r="C27" i="7" s="1"/>
  <c r="C21" i="2"/>
  <c r="C23" i="7" s="1"/>
  <c r="C23" i="2"/>
  <c r="C21" i="7" s="1"/>
  <c r="C25" i="2"/>
  <c r="C19" i="7" s="1"/>
  <c r="C27" i="2"/>
  <c r="C17" i="7" s="1"/>
  <c r="C29" i="2"/>
  <c r="C15" i="7" s="1"/>
  <c r="C31" i="2"/>
  <c r="C13" i="7" s="1"/>
  <c r="C33" i="2"/>
  <c r="C11" i="7" s="1"/>
  <c r="C35" i="2"/>
  <c r="C9" i="7" s="1"/>
  <c r="C37" i="2"/>
  <c r="C7" i="7" s="1"/>
  <c r="C39" i="2"/>
  <c r="C5" i="7" s="1"/>
  <c r="O14" i="5"/>
  <c r="O23" i="5"/>
  <c r="M23" i="5"/>
  <c r="D6" i="7"/>
  <c r="E6" i="7"/>
  <c r="L6" i="8"/>
  <c r="E6" i="8"/>
  <c r="D6" i="8"/>
  <c r="B25" i="7"/>
  <c r="B25" i="8"/>
  <c r="D7" i="2"/>
  <c r="C37" i="8" s="1"/>
  <c r="D9" i="2"/>
  <c r="C35" i="8" s="1"/>
  <c r="D11" i="2"/>
  <c r="C33" i="8" s="1"/>
  <c r="D13" i="2"/>
  <c r="C31" i="8" s="1"/>
  <c r="D15" i="2"/>
  <c r="C29" i="8" s="1"/>
  <c r="D17" i="2"/>
  <c r="C27" i="8" s="1"/>
  <c r="D19" i="2"/>
  <c r="C25" i="8" s="1"/>
  <c r="D21" i="2"/>
  <c r="C23" i="8" s="1"/>
  <c r="D23" i="2"/>
  <c r="C21" i="8" s="1"/>
  <c r="D25" i="2"/>
  <c r="C19" i="8" s="1"/>
  <c r="D27" i="2"/>
  <c r="C17" i="8" s="1"/>
  <c r="D29" i="2"/>
  <c r="C15" i="8" s="1"/>
  <c r="D31" i="2"/>
  <c r="C13" i="8" s="1"/>
  <c r="D33" i="2"/>
  <c r="C11" i="8" s="1"/>
  <c r="D35" i="2"/>
  <c r="C9" i="8" s="1"/>
  <c r="D37" i="2"/>
  <c r="C7" i="8" s="1"/>
  <c r="D39" i="2"/>
  <c r="C5" i="8" s="1"/>
  <c r="O21" i="4"/>
  <c r="M14" i="5"/>
  <c r="M11" i="4"/>
  <c r="S9" i="5"/>
  <c r="D7" i="1" s="1"/>
  <c r="M15" i="6"/>
  <c r="O11" i="4"/>
  <c r="O26" i="5"/>
  <c r="M26" i="5"/>
  <c r="E6" i="6"/>
  <c r="D6" i="6"/>
  <c r="O19" i="6"/>
  <c r="M19" i="6"/>
  <c r="O15" i="6"/>
  <c r="M9" i="4"/>
  <c r="M12" i="4"/>
  <c r="M14" i="6"/>
  <c r="M27" i="6"/>
  <c r="O27" i="6"/>
  <c r="S10" i="5"/>
  <c r="M14" i="9"/>
  <c r="O14" i="9"/>
  <c r="M31" i="6"/>
  <c r="O31" i="6"/>
  <c r="M20" i="9"/>
  <c r="O20" i="9"/>
  <c r="M25" i="5"/>
  <c r="M33" i="5"/>
  <c r="S10" i="6"/>
  <c r="S9" i="6"/>
  <c r="D8" i="1" s="1"/>
  <c r="O25" i="6"/>
  <c r="M25" i="6"/>
  <c r="M23" i="4"/>
  <c r="M27" i="4"/>
  <c r="M31" i="4"/>
  <c r="M35" i="4"/>
  <c r="M7" i="5"/>
  <c r="M10" i="5"/>
  <c r="M13" i="5"/>
  <c r="M17" i="5"/>
  <c r="M21" i="5"/>
  <c r="O20" i="6"/>
  <c r="M20" i="6"/>
  <c r="M33" i="6"/>
  <c r="M17" i="9"/>
  <c r="O17" i="9"/>
  <c r="M13" i="9"/>
  <c r="O13" i="9"/>
  <c r="M32" i="6"/>
  <c r="M32" i="9"/>
  <c r="O32" i="9"/>
  <c r="M9" i="9"/>
  <c r="O9" i="9"/>
  <c r="S10" i="9"/>
  <c r="O5" i="9"/>
  <c r="M5" i="9"/>
  <c r="E6" i="9"/>
  <c r="D6" i="9"/>
  <c r="S9" i="9"/>
  <c r="D11" i="1" s="1"/>
  <c r="M35" i="9"/>
  <c r="M29" i="9"/>
  <c r="M26" i="9"/>
  <c r="M27" i="9"/>
  <c r="O35" i="9"/>
  <c r="M23" i="9"/>
  <c r="O11" i="9"/>
  <c r="O16" i="9"/>
  <c r="O22" i="9"/>
  <c r="O28" i="9"/>
  <c r="O34" i="9"/>
  <c r="M8" i="9"/>
  <c r="M12" i="9"/>
  <c r="M19" i="9"/>
  <c r="M25" i="9"/>
  <c r="M31" i="9"/>
  <c r="O36" i="9"/>
  <c r="M37" i="9"/>
  <c r="S8" i="3" l="1"/>
  <c r="F5" i="1" s="1"/>
  <c r="S8" i="6"/>
  <c r="F8" i="1" s="1"/>
  <c r="F6" i="7"/>
  <c r="S8" i="5"/>
  <c r="F7" i="1" s="1"/>
  <c r="S8" i="9"/>
  <c r="F11" i="1" s="1"/>
  <c r="I6" i="4"/>
  <c r="J6" i="4"/>
  <c r="O29" i="8"/>
  <c r="M29" i="8"/>
  <c r="O7" i="8"/>
  <c r="M7" i="8"/>
  <c r="O31" i="7"/>
  <c r="M31" i="7"/>
  <c r="O22" i="8"/>
  <c r="M22" i="8"/>
  <c r="O38" i="7"/>
  <c r="M38" i="7"/>
  <c r="M18" i="7"/>
  <c r="O18" i="7"/>
  <c r="O33" i="7"/>
  <c r="M33" i="7"/>
  <c r="O30" i="8"/>
  <c r="M30" i="8"/>
  <c r="O38" i="8"/>
  <c r="M38" i="8"/>
  <c r="H6" i="7"/>
  <c r="M6" i="7"/>
  <c r="O6" i="7"/>
  <c r="I6" i="3"/>
  <c r="K6" i="3" s="1" a="1"/>
  <c r="K6" i="3" s="1"/>
  <c r="O33" i="8"/>
  <c r="M33" i="8"/>
  <c r="M24" i="7"/>
  <c r="O24" i="7"/>
  <c r="O35" i="8"/>
  <c r="M35" i="8"/>
  <c r="O13" i="8"/>
  <c r="M13" i="8"/>
  <c r="M37" i="8"/>
  <c r="O37" i="8"/>
  <c r="O11" i="7"/>
  <c r="M11" i="7"/>
  <c r="M37" i="7"/>
  <c r="O37" i="7"/>
  <c r="M14" i="7"/>
  <c r="O14" i="7"/>
  <c r="M16" i="8"/>
  <c r="O16" i="8"/>
  <c r="M26" i="7"/>
  <c r="O26" i="7"/>
  <c r="O35" i="7"/>
  <c r="M35" i="7"/>
  <c r="O15" i="8"/>
  <c r="M15" i="8"/>
  <c r="O13" i="7"/>
  <c r="M13" i="7"/>
  <c r="O20" i="7"/>
  <c r="M20" i="7"/>
  <c r="F6" i="9"/>
  <c r="H6" i="9"/>
  <c r="O17" i="8"/>
  <c r="M17" i="8"/>
  <c r="M15" i="7"/>
  <c r="O15" i="7"/>
  <c r="O8" i="8"/>
  <c r="M8" i="8"/>
  <c r="O9" i="8"/>
  <c r="M9" i="8"/>
  <c r="O9" i="7"/>
  <c r="M9" i="7"/>
  <c r="O19" i="8"/>
  <c r="M19" i="8"/>
  <c r="M17" i="7"/>
  <c r="O17" i="7"/>
  <c r="M22" i="7"/>
  <c r="O22" i="7"/>
  <c r="O8" i="7"/>
  <c r="M8" i="7"/>
  <c r="O34" i="7"/>
  <c r="M34" i="7"/>
  <c r="O21" i="8"/>
  <c r="M21" i="8"/>
  <c r="M19" i="7"/>
  <c r="O19" i="7"/>
  <c r="O28" i="7"/>
  <c r="M28" i="7"/>
  <c r="M29" i="7"/>
  <c r="O29" i="7"/>
  <c r="O14" i="8"/>
  <c r="M14" i="8"/>
  <c r="S10" i="7"/>
  <c r="M5" i="7"/>
  <c r="O5" i="7"/>
  <c r="H5" i="7"/>
  <c r="S9" i="7"/>
  <c r="D9" i="1" s="1"/>
  <c r="M12" i="7"/>
  <c r="O12" i="7"/>
  <c r="F6" i="8"/>
  <c r="M23" i="8"/>
  <c r="O23" i="8"/>
  <c r="M21" i="7"/>
  <c r="O21" i="7"/>
  <c r="S8" i="4"/>
  <c r="F6" i="1" s="1"/>
  <c r="F6" i="5"/>
  <c r="H6" i="5"/>
  <c r="O5" i="8"/>
  <c r="M5" i="8"/>
  <c r="S9" i="8"/>
  <c r="D10" i="1" s="1"/>
  <c r="H5" i="8"/>
  <c r="S10" i="8"/>
  <c r="O31" i="8"/>
  <c r="M31" i="8"/>
  <c r="O7" i="7"/>
  <c r="M7" i="7"/>
  <c r="F6" i="6"/>
  <c r="H6" i="6"/>
  <c r="O25" i="8"/>
  <c r="M25" i="8"/>
  <c r="O23" i="7"/>
  <c r="M23" i="7"/>
  <c r="M30" i="7"/>
  <c r="O30" i="7"/>
  <c r="O32" i="7"/>
  <c r="M32" i="7"/>
  <c r="O10" i="7"/>
  <c r="M10" i="7"/>
  <c r="M16" i="7"/>
  <c r="O16" i="7"/>
  <c r="O11" i="8"/>
  <c r="M11" i="8"/>
  <c r="O27" i="8"/>
  <c r="M27" i="8"/>
  <c r="M27" i="7"/>
  <c r="O27" i="7"/>
  <c r="M6" i="8"/>
  <c r="O6" i="8"/>
  <c r="H6" i="8"/>
  <c r="O36" i="7"/>
  <c r="M36" i="7"/>
  <c r="K6" i="4" l="1" a="1"/>
  <c r="K6" i="4" s="1"/>
  <c r="E7" i="4" s="1"/>
  <c r="J6" i="6"/>
  <c r="I6" i="6"/>
  <c r="D7" i="3"/>
  <c r="L7" i="3"/>
  <c r="E7" i="3"/>
  <c r="S8" i="8"/>
  <c r="F10" i="1" s="1"/>
  <c r="J6" i="5"/>
  <c r="I6" i="5"/>
  <c r="J6" i="7"/>
  <c r="I6" i="7"/>
  <c r="S8" i="7"/>
  <c r="F9" i="1" s="1"/>
  <c r="J6" i="9"/>
  <c r="I6" i="9"/>
  <c r="I6" i="8"/>
  <c r="J6" i="8"/>
  <c r="K6" i="5" l="1" a="1"/>
  <c r="K6" i="5" s="1"/>
  <c r="L7" i="5" s="1"/>
  <c r="K6" i="9" a="1"/>
  <c r="K6" i="9" s="1"/>
  <c r="D7" i="9" s="1"/>
  <c r="D7" i="4"/>
  <c r="F7" i="4" s="1"/>
  <c r="L7" i="4"/>
  <c r="K6" i="6" a="1"/>
  <c r="K6" i="6" s="1"/>
  <c r="E7" i="6" s="1"/>
  <c r="K6" i="8" a="1"/>
  <c r="K6" i="8" s="1"/>
  <c r="H7" i="3"/>
  <c r="F7" i="3"/>
  <c r="K6" i="7" a="1"/>
  <c r="K6" i="7" s="1"/>
  <c r="D7" i="5" l="1"/>
  <c r="E7" i="5"/>
  <c r="H7" i="4"/>
  <c r="J7" i="4" s="1"/>
  <c r="J7" i="6"/>
  <c r="E7" i="9"/>
  <c r="F7" i="9" s="1"/>
  <c r="I7" i="6"/>
  <c r="L7" i="6"/>
  <c r="D7" i="6"/>
  <c r="H7" i="6" s="1"/>
  <c r="L7" i="9"/>
  <c r="D7" i="7"/>
  <c r="E7" i="7"/>
  <c r="L7" i="7"/>
  <c r="E7" i="8"/>
  <c r="L7" i="8"/>
  <c r="D7" i="8"/>
  <c r="J7" i="3"/>
  <c r="I7" i="3"/>
  <c r="H7" i="5" l="1"/>
  <c r="J7" i="5" s="1"/>
  <c r="F7" i="5"/>
  <c r="I7" i="4"/>
  <c r="K7" i="4" s="1" a="1"/>
  <c r="K7" i="4" s="1"/>
  <c r="K7" i="6" a="1"/>
  <c r="K7" i="6" s="1"/>
  <c r="E8" i="6" s="1"/>
  <c r="F7" i="6"/>
  <c r="H7" i="9"/>
  <c r="J7" i="9" s="1"/>
  <c r="K7" i="3" a="1"/>
  <c r="K7" i="3" s="1"/>
  <c r="D8" i="3" s="1"/>
  <c r="F7" i="8"/>
  <c r="H7" i="8"/>
  <c r="F7" i="7"/>
  <c r="H7" i="7"/>
  <c r="I7" i="5" l="1"/>
  <c r="K7" i="5" s="1" a="1"/>
  <c r="K7" i="5" s="1"/>
  <c r="E8" i="3"/>
  <c r="H8" i="3" s="1"/>
  <c r="I7" i="9"/>
  <c r="K7" i="9" s="1" a="1"/>
  <c r="K7" i="9" s="1"/>
  <c r="D8" i="6"/>
  <c r="H8" i="6" s="1"/>
  <c r="I8" i="6" s="1"/>
  <c r="L8" i="6"/>
  <c r="L8" i="3"/>
  <c r="J7" i="7"/>
  <c r="I7" i="7"/>
  <c r="I7" i="8"/>
  <c r="J7" i="8"/>
  <c r="I8" i="4"/>
  <c r="E8" i="4"/>
  <c r="L8" i="4"/>
  <c r="J8" i="4"/>
  <c r="D8" i="4"/>
  <c r="F8" i="3"/>
  <c r="J8" i="6" l="1"/>
  <c r="K8" i="6" s="1" a="1"/>
  <c r="K8" i="6" s="1"/>
  <c r="D9" i="6" s="1"/>
  <c r="F8" i="6"/>
  <c r="K7" i="7" a="1"/>
  <c r="K7" i="7" s="1"/>
  <c r="L8" i="7" s="1"/>
  <c r="F8" i="4"/>
  <c r="H8" i="4"/>
  <c r="K8" i="4" a="1"/>
  <c r="K8" i="4" s="1"/>
  <c r="K7" i="8" a="1"/>
  <c r="K7" i="8" s="1"/>
  <c r="J8" i="3"/>
  <c r="I8" i="3"/>
  <c r="J8" i="5"/>
  <c r="I8" i="5"/>
  <c r="D8" i="5"/>
  <c r="E8" i="5"/>
  <c r="L8" i="5"/>
  <c r="E8" i="9"/>
  <c r="L8" i="9"/>
  <c r="D8" i="9"/>
  <c r="K8" i="3" l="1" a="1"/>
  <c r="K8" i="3" s="1"/>
  <c r="D9" i="3" s="1"/>
  <c r="D8" i="7"/>
  <c r="F8" i="7" s="1"/>
  <c r="E8" i="7"/>
  <c r="L9" i="6"/>
  <c r="E9" i="6"/>
  <c r="H9" i="6" s="1"/>
  <c r="K8" i="5" a="1"/>
  <c r="K8" i="5" s="1"/>
  <c r="E9" i="5" s="1"/>
  <c r="F8" i="5"/>
  <c r="H8" i="5"/>
  <c r="D9" i="4"/>
  <c r="E9" i="4"/>
  <c r="L9" i="4"/>
  <c r="I8" i="8"/>
  <c r="E8" i="8"/>
  <c r="D8" i="8"/>
  <c r="J8" i="8"/>
  <c r="L8" i="8"/>
  <c r="F9" i="6"/>
  <c r="H8" i="9"/>
  <c r="F8" i="9"/>
  <c r="L9" i="3" l="1"/>
  <c r="E9" i="3"/>
  <c r="H9" i="3" s="1"/>
  <c r="H8" i="7"/>
  <c r="I8" i="7" s="1"/>
  <c r="D9" i="5"/>
  <c r="H9" i="5" s="1"/>
  <c r="L9" i="5"/>
  <c r="K8" i="8" a="1"/>
  <c r="K8" i="8" s="1"/>
  <c r="F9" i="4"/>
  <c r="H9" i="4"/>
  <c r="F9" i="3"/>
  <c r="F8" i="8"/>
  <c r="H8" i="8"/>
  <c r="J8" i="9"/>
  <c r="I8" i="9"/>
  <c r="J9" i="6"/>
  <c r="I9" i="6"/>
  <c r="J8" i="7" l="1"/>
  <c r="K8" i="7" s="1" a="1"/>
  <c r="K8" i="7" s="1"/>
  <c r="E9" i="7" s="1"/>
  <c r="F9" i="5"/>
  <c r="K8" i="9" a="1"/>
  <c r="K8" i="9" s="1"/>
  <c r="L9" i="9" s="1"/>
  <c r="J9" i="3"/>
  <c r="I9" i="3"/>
  <c r="J9" i="4"/>
  <c r="I9" i="4"/>
  <c r="I9" i="5"/>
  <c r="J9" i="5"/>
  <c r="K9" i="6" a="1"/>
  <c r="K9" i="6" s="1"/>
  <c r="E9" i="8"/>
  <c r="D9" i="8"/>
  <c r="L9" i="8"/>
  <c r="K9" i="3" l="1" a="1"/>
  <c r="K9" i="3" s="1"/>
  <c r="E10" i="3" s="1"/>
  <c r="E9" i="9"/>
  <c r="D9" i="9"/>
  <c r="L9" i="7"/>
  <c r="D9" i="7"/>
  <c r="F9" i="7" s="1"/>
  <c r="F9" i="8"/>
  <c r="H9" i="8"/>
  <c r="E10" i="6"/>
  <c r="D10" i="6"/>
  <c r="L10" i="6"/>
  <c r="K9" i="5" a="1"/>
  <c r="K9" i="5" s="1"/>
  <c r="K9" i="4" a="1"/>
  <c r="K9" i="4" s="1"/>
  <c r="L10" i="3" l="1"/>
  <c r="F9" i="9"/>
  <c r="D10" i="3"/>
  <c r="H10" i="3" s="1"/>
  <c r="H9" i="9"/>
  <c r="I9" i="9" s="1"/>
  <c r="H9" i="7"/>
  <c r="I9" i="7" s="1"/>
  <c r="L10" i="4"/>
  <c r="E10" i="4"/>
  <c r="D10" i="4"/>
  <c r="L10" i="5"/>
  <c r="E10" i="5"/>
  <c r="D10" i="5"/>
  <c r="J9" i="8"/>
  <c r="I9" i="8"/>
  <c r="H10" i="6"/>
  <c r="F10" i="6"/>
  <c r="F10" i="3" l="1"/>
  <c r="J9" i="9"/>
  <c r="K9" i="9" s="1" a="1"/>
  <c r="K9" i="9" s="1"/>
  <c r="K9" i="8" a="1"/>
  <c r="K9" i="8" s="1"/>
  <c r="L10" i="8" s="1"/>
  <c r="J9" i="7"/>
  <c r="K9" i="7" s="1" a="1"/>
  <c r="K9" i="7" s="1"/>
  <c r="F10" i="4"/>
  <c r="H10" i="4"/>
  <c r="H10" i="5"/>
  <c r="F10" i="5"/>
  <c r="J10" i="6"/>
  <c r="I10" i="6"/>
  <c r="I10" i="3"/>
  <c r="J10" i="3"/>
  <c r="K10" i="6" l="1" a="1"/>
  <c r="K10" i="6" s="1"/>
  <c r="E11" i="6" s="1"/>
  <c r="L10" i="9"/>
  <c r="D10" i="9"/>
  <c r="E10" i="9"/>
  <c r="D10" i="8"/>
  <c r="F10" i="8" s="1"/>
  <c r="E10" i="8"/>
  <c r="K10" i="3" a="1"/>
  <c r="K10" i="3" s="1"/>
  <c r="D11" i="3" s="1"/>
  <c r="D10" i="7"/>
  <c r="L10" i="7"/>
  <c r="E10" i="7"/>
  <c r="J10" i="5"/>
  <c r="I10" i="5"/>
  <c r="I10" i="4"/>
  <c r="J10" i="4"/>
  <c r="H10" i="9" l="1"/>
  <c r="I10" i="9" s="1"/>
  <c r="H10" i="8"/>
  <c r="I10" i="8" s="1"/>
  <c r="L11" i="6"/>
  <c r="F10" i="9"/>
  <c r="D11" i="6"/>
  <c r="H11" i="6" s="1"/>
  <c r="K10" i="5" a="1"/>
  <c r="K10" i="5" s="1"/>
  <c r="D11" i="5" s="1"/>
  <c r="L11" i="3"/>
  <c r="E11" i="3"/>
  <c r="H11" i="3" s="1"/>
  <c r="K10" i="4" a="1"/>
  <c r="K10" i="4" s="1"/>
  <c r="E11" i="4" s="1"/>
  <c r="F10" i="7"/>
  <c r="H10" i="7"/>
  <c r="F11" i="3"/>
  <c r="L11" i="5" l="1"/>
  <c r="J10" i="8"/>
  <c r="K10" i="8" s="1" a="1"/>
  <c r="K10" i="8" s="1"/>
  <c r="L11" i="8" s="1"/>
  <c r="J10" i="9"/>
  <c r="K10" i="9" s="1" a="1"/>
  <c r="K10" i="9" s="1"/>
  <c r="F11" i="6"/>
  <c r="E11" i="5"/>
  <c r="H11" i="5" s="1"/>
  <c r="L11" i="4"/>
  <c r="D11" i="4"/>
  <c r="F11" i="4" s="1"/>
  <c r="J11" i="3"/>
  <c r="I11" i="3"/>
  <c r="I11" i="6"/>
  <c r="J11" i="6"/>
  <c r="F11" i="5"/>
  <c r="I10" i="7"/>
  <c r="J10" i="7"/>
  <c r="H11" i="4" l="1"/>
  <c r="I11" i="4" s="1"/>
  <c r="L11" i="9"/>
  <c r="D11" i="9"/>
  <c r="E11" i="9"/>
  <c r="D11" i="8"/>
  <c r="F11" i="8" s="1"/>
  <c r="E11" i="8"/>
  <c r="K10" i="7" a="1"/>
  <c r="K10" i="7" s="1"/>
  <c r="L11" i="7" s="1"/>
  <c r="K11" i="6" a="1"/>
  <c r="K11" i="6" s="1"/>
  <c r="D12" i="6" s="1"/>
  <c r="J11" i="5"/>
  <c r="I11" i="5"/>
  <c r="K11" i="3" a="1"/>
  <c r="K11" i="3" s="1"/>
  <c r="J11" i="4" l="1"/>
  <c r="K11" i="4" s="1" a="1"/>
  <c r="K11" i="4" s="1"/>
  <c r="F11" i="9"/>
  <c r="H11" i="9"/>
  <c r="J11" i="9" s="1"/>
  <c r="K11" i="5" a="1"/>
  <c r="K11" i="5" s="1"/>
  <c r="D12" i="5" s="1"/>
  <c r="H11" i="8"/>
  <c r="I11" i="8" s="1"/>
  <c r="D11" i="7"/>
  <c r="L12" i="6"/>
  <c r="E12" i="6"/>
  <c r="H12" i="6" s="1"/>
  <c r="E11" i="7"/>
  <c r="F12" i="6"/>
  <c r="L12" i="3"/>
  <c r="E12" i="3"/>
  <c r="D12" i="3"/>
  <c r="I11" i="9" l="1"/>
  <c r="K11" i="9" s="1" a="1"/>
  <c r="K11" i="9" s="1"/>
  <c r="D12" i="9" s="1"/>
  <c r="L12" i="5"/>
  <c r="E12" i="5"/>
  <c r="H12" i="5" s="1"/>
  <c r="J11" i="8"/>
  <c r="K11" i="8" s="1" a="1"/>
  <c r="K11" i="8" s="1"/>
  <c r="H11" i="7"/>
  <c r="J11" i="7" s="1"/>
  <c r="F11" i="7"/>
  <c r="F12" i="3"/>
  <c r="H12" i="3"/>
  <c r="F12" i="5"/>
  <c r="D12" i="4"/>
  <c r="E12" i="4"/>
  <c r="L12" i="4"/>
  <c r="I12" i="6"/>
  <c r="J12" i="6"/>
  <c r="I11" i="7" l="1"/>
  <c r="K11" i="7" s="1" a="1"/>
  <c r="K11" i="7" s="1"/>
  <c r="L12" i="7" s="1"/>
  <c r="L12" i="9"/>
  <c r="E12" i="9"/>
  <c r="F12" i="9" s="1"/>
  <c r="H12" i="4"/>
  <c r="F12" i="4"/>
  <c r="K12" i="6" a="1"/>
  <c r="K12" i="6" s="1"/>
  <c r="J12" i="5"/>
  <c r="I12" i="5"/>
  <c r="E12" i="8"/>
  <c r="L12" i="8"/>
  <c r="D12" i="8"/>
  <c r="J12" i="3"/>
  <c r="I12" i="3"/>
  <c r="E12" i="7" l="1"/>
  <c r="D12" i="7"/>
  <c r="F12" i="7" s="1"/>
  <c r="H12" i="9"/>
  <c r="I12" i="9" s="1"/>
  <c r="K12" i="3" a="1"/>
  <c r="K12" i="3" s="1"/>
  <c r="J13" i="3" s="1"/>
  <c r="E13" i="6"/>
  <c r="D13" i="6"/>
  <c r="L13" i="6"/>
  <c r="F12" i="8"/>
  <c r="H12" i="8"/>
  <c r="K12" i="5" a="1"/>
  <c r="K12" i="5" s="1"/>
  <c r="I12" i="4"/>
  <c r="J12" i="4"/>
  <c r="H12" i="7" l="1"/>
  <c r="J12" i="7" s="1"/>
  <c r="J12" i="9"/>
  <c r="K12" i="9" s="1" a="1"/>
  <c r="K12" i="9" s="1"/>
  <c r="L13" i="9" s="1"/>
  <c r="L13" i="3"/>
  <c r="E13" i="3"/>
  <c r="D13" i="3"/>
  <c r="F13" i="3" s="1"/>
  <c r="I13" i="3"/>
  <c r="K13" i="3" s="1" a="1"/>
  <c r="K13" i="3" s="1"/>
  <c r="K12" i="4" a="1"/>
  <c r="K12" i="4" s="1"/>
  <c r="L13" i="4" s="1"/>
  <c r="J12" i="8"/>
  <c r="I12" i="8"/>
  <c r="H13" i="6"/>
  <c r="F13" i="6"/>
  <c r="L13" i="5"/>
  <c r="E13" i="5"/>
  <c r="D13" i="5"/>
  <c r="I12" i="7" l="1"/>
  <c r="K12" i="7" s="1" a="1"/>
  <c r="K12" i="7" s="1"/>
  <c r="E13" i="7" s="1"/>
  <c r="L14" i="3"/>
  <c r="D13" i="9"/>
  <c r="D13" i="4"/>
  <c r="F13" i="4" s="1"/>
  <c r="E13" i="9"/>
  <c r="E13" i="4"/>
  <c r="H13" i="3"/>
  <c r="D14" i="3"/>
  <c r="E14" i="3"/>
  <c r="F13" i="5"/>
  <c r="H13" i="5"/>
  <c r="I13" i="6"/>
  <c r="J13" i="6"/>
  <c r="K12" i="8" a="1"/>
  <c r="K12" i="8" s="1"/>
  <c r="H13" i="4" l="1"/>
  <c r="J13" i="4" s="1"/>
  <c r="F13" i="9"/>
  <c r="H13" i="9"/>
  <c r="J13" i="9" s="1"/>
  <c r="H14" i="3"/>
  <c r="J14" i="3" s="1"/>
  <c r="F14" i="3"/>
  <c r="D13" i="7"/>
  <c r="F13" i="7" s="1"/>
  <c r="K13" i="6" a="1"/>
  <c r="K13" i="6" s="1"/>
  <c r="D14" i="6" s="1"/>
  <c r="L13" i="7"/>
  <c r="I13" i="7"/>
  <c r="J13" i="7"/>
  <c r="E13" i="8"/>
  <c r="D13" i="8"/>
  <c r="L13" i="8"/>
  <c r="I13" i="5"/>
  <c r="J13" i="5"/>
  <c r="I13" i="4" l="1"/>
  <c r="K13" i="4" s="1" a="1"/>
  <c r="K13" i="4" s="1"/>
  <c r="I13" i="9"/>
  <c r="K13" i="9" s="1" a="1"/>
  <c r="K13" i="9" s="1"/>
  <c r="H13" i="7"/>
  <c r="I14" i="3"/>
  <c r="K14" i="3" s="1" a="1"/>
  <c r="K14" i="3" s="1"/>
  <c r="L15" i="3" s="1"/>
  <c r="E14" i="6"/>
  <c r="H14" i="6" s="1"/>
  <c r="L14" i="6"/>
  <c r="K13" i="7" a="1"/>
  <c r="K13" i="7" s="1"/>
  <c r="K13" i="5" a="1"/>
  <c r="K13" i="5" s="1"/>
  <c r="E14" i="5" s="1"/>
  <c r="F13" i="8"/>
  <c r="H13" i="8"/>
  <c r="F14" i="6"/>
  <c r="D15" i="3" l="1"/>
  <c r="F15" i="3" s="1"/>
  <c r="E15" i="3"/>
  <c r="L14" i="7"/>
  <c r="E14" i="7"/>
  <c r="D14" i="7"/>
  <c r="D14" i="5"/>
  <c r="F14" i="5" s="1"/>
  <c r="L14" i="5"/>
  <c r="I13" i="8"/>
  <c r="J13" i="8"/>
  <c r="D14" i="4"/>
  <c r="L14" i="4"/>
  <c r="E14" i="4"/>
  <c r="L14" i="9"/>
  <c r="E14" i="9"/>
  <c r="D14" i="9"/>
  <c r="J14" i="6"/>
  <c r="I14" i="6"/>
  <c r="H15" i="3" l="1"/>
  <c r="J15" i="3" s="1"/>
  <c r="F14" i="7"/>
  <c r="H14" i="7"/>
  <c r="H14" i="5"/>
  <c r="I14" i="5" s="1"/>
  <c r="K14" i="6" a="1"/>
  <c r="K14" i="6" s="1"/>
  <c r="D15" i="6" s="1"/>
  <c r="F14" i="4"/>
  <c r="H14" i="4"/>
  <c r="K13" i="8" a="1"/>
  <c r="K13" i="8" s="1"/>
  <c r="F14" i="9"/>
  <c r="H14" i="9"/>
  <c r="I15" i="3" l="1"/>
  <c r="K15" i="3" s="1" a="1"/>
  <c r="K15" i="3" s="1"/>
  <c r="L15" i="6"/>
  <c r="I14" i="7"/>
  <c r="J14" i="7"/>
  <c r="E15" i="6"/>
  <c r="H15" i="6" s="1"/>
  <c r="J14" i="5"/>
  <c r="K14" i="5" s="1" a="1"/>
  <c r="K14" i="5" s="1"/>
  <c r="L15" i="5" s="1"/>
  <c r="F15" i="6"/>
  <c r="J14" i="9"/>
  <c r="I14" i="9"/>
  <c r="E14" i="8"/>
  <c r="D14" i="8"/>
  <c r="L14" i="8"/>
  <c r="J14" i="8"/>
  <c r="I14" i="8"/>
  <c r="J14" i="4"/>
  <c r="I14" i="4"/>
  <c r="K14" i="9" l="1" a="1"/>
  <c r="K14" i="9" s="1"/>
  <c r="J15" i="9" s="1"/>
  <c r="K14" i="7" a="1"/>
  <c r="K14" i="7" s="1"/>
  <c r="E15" i="5"/>
  <c r="K14" i="8" a="1"/>
  <c r="K14" i="8" s="1"/>
  <c r="E15" i="8" s="1"/>
  <c r="D15" i="5"/>
  <c r="F15" i="5" s="1"/>
  <c r="K14" i="4" a="1"/>
  <c r="K14" i="4" s="1"/>
  <c r="E15" i="4" s="1"/>
  <c r="J15" i="6"/>
  <c r="I15" i="6"/>
  <c r="E16" i="3"/>
  <c r="L16" i="3"/>
  <c r="D16" i="3"/>
  <c r="F14" i="8"/>
  <c r="H14" i="8"/>
  <c r="D15" i="9" l="1"/>
  <c r="L15" i="9"/>
  <c r="E15" i="9"/>
  <c r="L15" i="8"/>
  <c r="I15" i="9"/>
  <c r="K15" i="9" s="1" a="1"/>
  <c r="K15" i="9" s="1"/>
  <c r="L16" i="9" s="1"/>
  <c r="J15" i="4"/>
  <c r="D15" i="8"/>
  <c r="F15" i="8" s="1"/>
  <c r="D15" i="4"/>
  <c r="F15" i="4" s="1"/>
  <c r="L15" i="4"/>
  <c r="I15" i="4"/>
  <c r="K15" i="6" a="1"/>
  <c r="K15" i="6" s="1"/>
  <c r="D16" i="6" s="1"/>
  <c r="E15" i="7"/>
  <c r="D15" i="7"/>
  <c r="L15" i="7"/>
  <c r="H15" i="5"/>
  <c r="J15" i="5" s="1"/>
  <c r="F16" i="3"/>
  <c r="H16" i="3"/>
  <c r="F15" i="9" l="1"/>
  <c r="H15" i="9"/>
  <c r="D16" i="9"/>
  <c r="K15" i="4" a="1"/>
  <c r="K15" i="4" s="1"/>
  <c r="E16" i="4" s="1"/>
  <c r="H15" i="4"/>
  <c r="E16" i="9"/>
  <c r="H15" i="8"/>
  <c r="J15" i="8" s="1"/>
  <c r="E16" i="6"/>
  <c r="H16" i="6" s="1"/>
  <c r="L16" i="6"/>
  <c r="F15" i="7"/>
  <c r="H15" i="7"/>
  <c r="I15" i="5"/>
  <c r="K15" i="5" s="1" a="1"/>
  <c r="K15" i="5" s="1"/>
  <c r="F16" i="6"/>
  <c r="J16" i="3"/>
  <c r="I16" i="3"/>
  <c r="D16" i="4" l="1"/>
  <c r="F16" i="4" s="1"/>
  <c r="L16" i="4"/>
  <c r="H16" i="9"/>
  <c r="J16" i="9" s="1"/>
  <c r="F16" i="9"/>
  <c r="I15" i="8"/>
  <c r="K15" i="8" s="1" a="1"/>
  <c r="K15" i="8" s="1"/>
  <c r="D16" i="8" s="1"/>
  <c r="K16" i="3" a="1"/>
  <c r="K16" i="3" s="1"/>
  <c r="E17" i="3" s="1"/>
  <c r="I15" i="7"/>
  <c r="J15" i="7"/>
  <c r="J16" i="6"/>
  <c r="I16" i="6"/>
  <c r="E16" i="5"/>
  <c r="D16" i="5"/>
  <c r="L16" i="5"/>
  <c r="I16" i="9" l="1"/>
  <c r="K16" i="9" s="1" a="1"/>
  <c r="K16" i="9" s="1"/>
  <c r="E17" i="9" s="1"/>
  <c r="H16" i="4"/>
  <c r="I16" i="4" s="1"/>
  <c r="L16" i="8"/>
  <c r="D17" i="3"/>
  <c r="H17" i="3" s="1"/>
  <c r="E16" i="8"/>
  <c r="H16" i="8" s="1"/>
  <c r="K16" i="6" a="1"/>
  <c r="K16" i="6" s="1"/>
  <c r="E17" i="6" s="1"/>
  <c r="L17" i="3"/>
  <c r="K15" i="7" a="1"/>
  <c r="K15" i="7" s="1"/>
  <c r="F16" i="8"/>
  <c r="F16" i="5"/>
  <c r="H16" i="5"/>
  <c r="J16" i="4" l="1"/>
  <c r="K16" i="4" s="1" a="1"/>
  <c r="K16" i="4" s="1"/>
  <c r="L17" i="4" s="1"/>
  <c r="L17" i="9"/>
  <c r="D17" i="9"/>
  <c r="F17" i="9" s="1"/>
  <c r="D17" i="6"/>
  <c r="F17" i="6" s="1"/>
  <c r="F17" i="3"/>
  <c r="L17" i="6"/>
  <c r="L16" i="7"/>
  <c r="E16" i="7"/>
  <c r="D16" i="7"/>
  <c r="J17" i="3"/>
  <c r="I17" i="3"/>
  <c r="J16" i="8"/>
  <c r="I16" i="8"/>
  <c r="J16" i="5"/>
  <c r="I16" i="5"/>
  <c r="E17" i="4" l="1"/>
  <c r="D17" i="4"/>
  <c r="F17" i="4" s="1"/>
  <c r="K16" i="5" a="1"/>
  <c r="K16" i="5" s="1"/>
  <c r="D17" i="5" s="1"/>
  <c r="H17" i="9"/>
  <c r="I17" i="9" s="1"/>
  <c r="H17" i="6"/>
  <c r="I17" i="6" s="1"/>
  <c r="K16" i="8" a="1"/>
  <c r="K16" i="8" s="1"/>
  <c r="L17" i="8" s="1"/>
  <c r="K17" i="3" a="1"/>
  <c r="K17" i="3" s="1"/>
  <c r="L18" i="3" s="1"/>
  <c r="F16" i="7"/>
  <c r="H16" i="7"/>
  <c r="E17" i="5" l="1"/>
  <c r="H17" i="5" s="1"/>
  <c r="L17" i="5"/>
  <c r="H17" i="4"/>
  <c r="I17" i="4" s="1"/>
  <c r="J17" i="9"/>
  <c r="K17" i="9" s="1" a="1"/>
  <c r="K17" i="9" s="1"/>
  <c r="J17" i="6"/>
  <c r="K17" i="6" s="1" a="1"/>
  <c r="K17" i="6" s="1"/>
  <c r="J17" i="8"/>
  <c r="E17" i="8"/>
  <c r="D17" i="8"/>
  <c r="F17" i="8" s="1"/>
  <c r="I17" i="8"/>
  <c r="D18" i="3"/>
  <c r="F18" i="3" s="1"/>
  <c r="E18" i="3"/>
  <c r="H18" i="3" s="1"/>
  <c r="I16" i="7"/>
  <c r="J16" i="7"/>
  <c r="F17" i="5"/>
  <c r="J17" i="4" l="1"/>
  <c r="K17" i="4" s="1" a="1"/>
  <c r="K17" i="4" s="1"/>
  <c r="I18" i="4" s="1"/>
  <c r="K17" i="8" a="1"/>
  <c r="K17" i="8" s="1"/>
  <c r="L18" i="8" s="1"/>
  <c r="H17" i="8"/>
  <c r="K16" i="7" a="1"/>
  <c r="K16" i="7" s="1"/>
  <c r="E17" i="7" s="1"/>
  <c r="D18" i="6"/>
  <c r="L18" i="6"/>
  <c r="E18" i="6"/>
  <c r="I18" i="3"/>
  <c r="J18" i="3"/>
  <c r="I17" i="5"/>
  <c r="J17" i="5"/>
  <c r="E18" i="9"/>
  <c r="D18" i="9"/>
  <c r="L18" i="9"/>
  <c r="J18" i="4" l="1"/>
  <c r="K18" i="4" s="1" a="1"/>
  <c r="K18" i="4" s="1"/>
  <c r="L19" i="4" s="1"/>
  <c r="D18" i="4"/>
  <c r="F18" i="4" s="1"/>
  <c r="L18" i="4"/>
  <c r="E18" i="4"/>
  <c r="D18" i="8"/>
  <c r="E18" i="8"/>
  <c r="L17" i="7"/>
  <c r="D17" i="7"/>
  <c r="H17" i="7" s="1"/>
  <c r="K17" i="5" a="1"/>
  <c r="K17" i="5" s="1"/>
  <c r="K18" i="3" a="1"/>
  <c r="K18" i="3" s="1"/>
  <c r="H18" i="9"/>
  <c r="F18" i="9"/>
  <c r="H18" i="6"/>
  <c r="F18" i="6"/>
  <c r="H18" i="4" l="1"/>
  <c r="F18" i="8"/>
  <c r="H18" i="8"/>
  <c r="D19" i="4"/>
  <c r="F19" i="4" s="1"/>
  <c r="E19" i="4"/>
  <c r="F17" i="7"/>
  <c r="I17" i="7"/>
  <c r="J17" i="7"/>
  <c r="J18" i="6"/>
  <c r="I18" i="6"/>
  <c r="L19" i="3"/>
  <c r="E19" i="3"/>
  <c r="D19" i="3"/>
  <c r="J18" i="9"/>
  <c r="I18" i="9"/>
  <c r="L18" i="5"/>
  <c r="E18" i="5"/>
  <c r="D18" i="5"/>
  <c r="H19" i="4" l="1"/>
  <c r="J19" i="4" s="1"/>
  <c r="J18" i="8"/>
  <c r="I18" i="8"/>
  <c r="K18" i="6" a="1"/>
  <c r="K18" i="6" s="1"/>
  <c r="I19" i="6" s="1"/>
  <c r="K17" i="7" a="1"/>
  <c r="K17" i="7" s="1"/>
  <c r="L18" i="7" s="1"/>
  <c r="F19" i="3"/>
  <c r="H19" i="3"/>
  <c r="F18" i="5"/>
  <c r="H18" i="5"/>
  <c r="K18" i="9" a="1"/>
  <c r="K18" i="9" s="1"/>
  <c r="I19" i="4" l="1"/>
  <c r="K19" i="4" s="1" a="1"/>
  <c r="K19" i="4" s="1"/>
  <c r="L20" i="4" s="1"/>
  <c r="K18" i="8" a="1"/>
  <c r="K18" i="8" s="1"/>
  <c r="L19" i="8" s="1"/>
  <c r="J19" i="6"/>
  <c r="K19" i="6" s="1" a="1"/>
  <c r="K19" i="6" s="1"/>
  <c r="D19" i="6"/>
  <c r="F19" i="6" s="1"/>
  <c r="L19" i="6"/>
  <c r="E19" i="6"/>
  <c r="D18" i="7"/>
  <c r="F18" i="7" s="1"/>
  <c r="E18" i="7"/>
  <c r="J19" i="3"/>
  <c r="I19" i="3"/>
  <c r="J18" i="5"/>
  <c r="I18" i="5"/>
  <c r="L19" i="9"/>
  <c r="E19" i="9"/>
  <c r="D19" i="9"/>
  <c r="L20" i="6" l="1"/>
  <c r="E20" i="4"/>
  <c r="D20" i="4"/>
  <c r="F20" i="4" s="1"/>
  <c r="E19" i="8"/>
  <c r="D19" i="8"/>
  <c r="H19" i="6"/>
  <c r="K19" i="3" a="1"/>
  <c r="K19" i="3" s="1"/>
  <c r="E20" i="3" s="1"/>
  <c r="D20" i="6"/>
  <c r="F20" i="6" s="1"/>
  <c r="E20" i="6"/>
  <c r="H18" i="7"/>
  <c r="J18" i="7" s="1"/>
  <c r="I18" i="7"/>
  <c r="K18" i="5" a="1"/>
  <c r="K18" i="5" s="1"/>
  <c r="J19" i="5" s="1"/>
  <c r="H19" i="9"/>
  <c r="F19" i="9"/>
  <c r="H20" i="4" l="1"/>
  <c r="K18" i="7" a="1"/>
  <c r="K18" i="7" s="1"/>
  <c r="D19" i="7" s="1"/>
  <c r="H19" i="8"/>
  <c r="F19" i="8"/>
  <c r="D20" i="3"/>
  <c r="F20" i="3" s="1"/>
  <c r="I20" i="3"/>
  <c r="J20" i="3"/>
  <c r="L20" i="3"/>
  <c r="D19" i="5"/>
  <c r="F19" i="5" s="1"/>
  <c r="L19" i="5"/>
  <c r="E19" i="5"/>
  <c r="H20" i="6"/>
  <c r="I20" i="6" s="1"/>
  <c r="I19" i="5"/>
  <c r="K19" i="5" s="1" a="1"/>
  <c r="K19" i="5" s="1"/>
  <c r="I19" i="9"/>
  <c r="J19" i="9"/>
  <c r="I20" i="4" l="1"/>
  <c r="J20" i="4"/>
  <c r="J19" i="7"/>
  <c r="I19" i="7"/>
  <c r="E19" i="7"/>
  <c r="H19" i="7" s="1"/>
  <c r="L19" i="7"/>
  <c r="I19" i="8"/>
  <c r="J19" i="8"/>
  <c r="H20" i="3"/>
  <c r="K20" i="3" a="1"/>
  <c r="K20" i="3" s="1"/>
  <c r="D21" i="3" s="1"/>
  <c r="F21" i="3" s="1"/>
  <c r="E20" i="5"/>
  <c r="H19" i="5"/>
  <c r="J20" i="6"/>
  <c r="K20" i="6" s="1" a="1"/>
  <c r="K20" i="6" s="1"/>
  <c r="E21" i="6" s="1"/>
  <c r="F19" i="7"/>
  <c r="L20" i="5"/>
  <c r="D20" i="5"/>
  <c r="F20" i="5" s="1"/>
  <c r="K19" i="9" a="1"/>
  <c r="K19" i="9" s="1"/>
  <c r="K20" i="4" l="1" a="1"/>
  <c r="K20" i="4" s="1"/>
  <c r="E21" i="4" s="1"/>
  <c r="K19" i="7" a="1"/>
  <c r="K19" i="7" s="1"/>
  <c r="E20" i="7" s="1"/>
  <c r="K19" i="8" a="1"/>
  <c r="K19" i="8" s="1"/>
  <c r="E21" i="3"/>
  <c r="H21" i="3" s="1"/>
  <c r="I21" i="3" s="1"/>
  <c r="L21" i="3"/>
  <c r="H20" i="5"/>
  <c r="J20" i="5" s="1"/>
  <c r="D21" i="6"/>
  <c r="F21" i="6" s="1"/>
  <c r="L21" i="6"/>
  <c r="L20" i="9"/>
  <c r="E20" i="9"/>
  <c r="D20" i="9"/>
  <c r="D21" i="4" l="1"/>
  <c r="F21" i="4" s="1"/>
  <c r="L21" i="4"/>
  <c r="D20" i="7"/>
  <c r="H20" i="7" s="1"/>
  <c r="J20" i="7" s="1"/>
  <c r="L20" i="7"/>
  <c r="E20" i="8"/>
  <c r="L20" i="8"/>
  <c r="D20" i="8"/>
  <c r="J21" i="3"/>
  <c r="K21" i="3" s="1" a="1"/>
  <c r="K21" i="3" s="1"/>
  <c r="L22" i="3" s="1"/>
  <c r="I20" i="5"/>
  <c r="K20" i="5" s="1" a="1"/>
  <c r="K20" i="5" s="1"/>
  <c r="H21" i="6"/>
  <c r="I21" i="6" s="1"/>
  <c r="F20" i="9"/>
  <c r="H20" i="9"/>
  <c r="H21" i="4" l="1"/>
  <c r="I21" i="4" s="1"/>
  <c r="I20" i="7"/>
  <c r="K20" i="7" s="1" a="1"/>
  <c r="K20" i="7" s="1"/>
  <c r="F20" i="7"/>
  <c r="F20" i="8"/>
  <c r="H20" i="8"/>
  <c r="D22" i="3"/>
  <c r="F22" i="3" s="1"/>
  <c r="E22" i="3"/>
  <c r="J21" i="6"/>
  <c r="K21" i="6" s="1" a="1"/>
  <c r="K21" i="6" s="1"/>
  <c r="L21" i="5"/>
  <c r="E21" i="5"/>
  <c r="D21" i="5"/>
  <c r="I20" i="9"/>
  <c r="J20" i="9"/>
  <c r="J21" i="4" l="1"/>
  <c r="K21" i="4" s="1" a="1"/>
  <c r="K21" i="4" s="1"/>
  <c r="J20" i="8"/>
  <c r="I20" i="8"/>
  <c r="H22" i="3"/>
  <c r="J22" i="3" s="1"/>
  <c r="L21" i="7"/>
  <c r="E21" i="7"/>
  <c r="D21" i="7"/>
  <c r="K20" i="9" a="1"/>
  <c r="K20" i="9" s="1"/>
  <c r="J21" i="9" s="1"/>
  <c r="L22" i="6"/>
  <c r="D22" i="6"/>
  <c r="E22" i="6"/>
  <c r="F21" i="5"/>
  <c r="H21" i="5"/>
  <c r="L22" i="4" l="1"/>
  <c r="E22" i="4"/>
  <c r="D22" i="4"/>
  <c r="K20" i="8" a="1"/>
  <c r="K20" i="8" s="1"/>
  <c r="L21" i="8" s="1"/>
  <c r="I22" i="3"/>
  <c r="K22" i="3" s="1" a="1"/>
  <c r="K22" i="3" s="1"/>
  <c r="L23" i="3" s="1"/>
  <c r="F21" i="7"/>
  <c r="H21" i="7"/>
  <c r="E21" i="9"/>
  <c r="D21" i="9"/>
  <c r="L21" i="9"/>
  <c r="I21" i="9"/>
  <c r="K21" i="9" s="1" a="1"/>
  <c r="K21" i="9" s="1"/>
  <c r="I21" i="5"/>
  <c r="J21" i="5"/>
  <c r="H22" i="6"/>
  <c r="F22" i="6"/>
  <c r="F22" i="4"/>
  <c r="H22" i="4" l="1"/>
  <c r="E21" i="8"/>
  <c r="D21" i="8"/>
  <c r="F21" i="8" s="1"/>
  <c r="H21" i="9"/>
  <c r="D22" i="9"/>
  <c r="F21" i="9"/>
  <c r="J21" i="7"/>
  <c r="I21" i="7"/>
  <c r="E22" i="9"/>
  <c r="L22" i="9"/>
  <c r="D23" i="3"/>
  <c r="E23" i="3"/>
  <c r="J22" i="4"/>
  <c r="I22" i="4"/>
  <c r="J22" i="6"/>
  <c r="I22" i="6"/>
  <c r="K21" i="5" a="1"/>
  <c r="K21" i="5" s="1"/>
  <c r="H21" i="8" l="1"/>
  <c r="J21" i="8" s="1"/>
  <c r="H22" i="9"/>
  <c r="J22" i="9" s="1"/>
  <c r="K21" i="7" a="1"/>
  <c r="K21" i="7" s="1"/>
  <c r="E22" i="7" s="1"/>
  <c r="F22" i="9"/>
  <c r="H23" i="3"/>
  <c r="J23" i="3" s="1"/>
  <c r="F23" i="3"/>
  <c r="K22" i="4" a="1"/>
  <c r="K22" i="4" s="1"/>
  <c r="E23" i="4" s="1"/>
  <c r="K22" i="6" a="1"/>
  <c r="K22" i="6" s="1"/>
  <c r="L23" i="6" s="1"/>
  <c r="L22" i="5"/>
  <c r="E22" i="5"/>
  <c r="D22" i="5"/>
  <c r="I21" i="8" l="1"/>
  <c r="K21" i="8" s="1" a="1"/>
  <c r="K21" i="8" s="1"/>
  <c r="D22" i="8" s="1"/>
  <c r="I22" i="9"/>
  <c r="K22" i="9" s="1" a="1"/>
  <c r="K22" i="9" s="1"/>
  <c r="E23" i="9" s="1"/>
  <c r="I23" i="3"/>
  <c r="K23" i="3" s="1" a="1"/>
  <c r="K23" i="3" s="1"/>
  <c r="E24" i="3" s="1"/>
  <c r="L22" i="7"/>
  <c r="D22" i="7"/>
  <c r="F22" i="7" s="1"/>
  <c r="L23" i="4"/>
  <c r="D23" i="4"/>
  <c r="F23" i="4" s="1"/>
  <c r="E23" i="6"/>
  <c r="I23" i="6"/>
  <c r="J23" i="6"/>
  <c r="D23" i="6"/>
  <c r="F23" i="6" s="1"/>
  <c r="F22" i="5"/>
  <c r="H22" i="5"/>
  <c r="E22" i="8" l="1"/>
  <c r="H22" i="8" s="1"/>
  <c r="L22" i="8"/>
  <c r="F22" i="8"/>
  <c r="H22" i="7"/>
  <c r="I22" i="7" s="1"/>
  <c r="D24" i="3"/>
  <c r="H24" i="3" s="1"/>
  <c r="L24" i="3"/>
  <c r="K23" i="6" a="1"/>
  <c r="K23" i="6" s="1"/>
  <c r="L24" i="6" s="1"/>
  <c r="L23" i="9"/>
  <c r="D23" i="9"/>
  <c r="H23" i="9" s="1"/>
  <c r="H23" i="4"/>
  <c r="I23" i="4" s="1"/>
  <c r="H23" i="6"/>
  <c r="J22" i="5"/>
  <c r="I22" i="5"/>
  <c r="I22" i="8" l="1"/>
  <c r="J22" i="8"/>
  <c r="J22" i="7"/>
  <c r="K22" i="7" s="1" a="1"/>
  <c r="K22" i="7" s="1"/>
  <c r="D23" i="7" s="1"/>
  <c r="F23" i="7" s="1"/>
  <c r="D24" i="6"/>
  <c r="F24" i="6" s="1"/>
  <c r="F24" i="3"/>
  <c r="E24" i="6"/>
  <c r="J23" i="4"/>
  <c r="K23" i="4" s="1" a="1"/>
  <c r="K23" i="4" s="1"/>
  <c r="F23" i="9"/>
  <c r="K22" i="5" a="1"/>
  <c r="K22" i="5" s="1"/>
  <c r="L23" i="5" s="1"/>
  <c r="J23" i="9"/>
  <c r="I23" i="9"/>
  <c r="J24" i="3"/>
  <c r="I24" i="3"/>
  <c r="H24" i="6" l="1"/>
  <c r="J24" i="6" s="1"/>
  <c r="K22" i="8" a="1"/>
  <c r="K22" i="8" s="1"/>
  <c r="J23" i="5"/>
  <c r="I23" i="5"/>
  <c r="E23" i="5"/>
  <c r="K23" i="9" a="1"/>
  <c r="K23" i="9" s="1"/>
  <c r="D24" i="9" s="1"/>
  <c r="L23" i="7"/>
  <c r="E23" i="7"/>
  <c r="H23" i="7" s="1"/>
  <c r="J23" i="7" s="1"/>
  <c r="D23" i="5"/>
  <c r="F23" i="5" s="1"/>
  <c r="K24" i="3" a="1"/>
  <c r="K24" i="3" s="1"/>
  <c r="D25" i="3" s="1"/>
  <c r="L24" i="4"/>
  <c r="E24" i="4"/>
  <c r="D24" i="4"/>
  <c r="I24" i="6" l="1"/>
  <c r="K24" i="6" s="1" a="1"/>
  <c r="K24" i="6" s="1"/>
  <c r="E25" i="6" s="1"/>
  <c r="J23" i="8"/>
  <c r="D23" i="8"/>
  <c r="I23" i="8"/>
  <c r="E23" i="8"/>
  <c r="L23" i="8"/>
  <c r="K23" i="5" a="1"/>
  <c r="K23" i="5" s="1"/>
  <c r="L24" i="5" s="1"/>
  <c r="I23" i="7"/>
  <c r="K23" i="7" s="1" a="1"/>
  <c r="K23" i="7" s="1"/>
  <c r="L24" i="7" s="1"/>
  <c r="H23" i="5"/>
  <c r="L24" i="9"/>
  <c r="E24" i="9"/>
  <c r="H24" i="9" s="1"/>
  <c r="L25" i="3"/>
  <c r="E25" i="3"/>
  <c r="H25" i="3" s="1"/>
  <c r="F24" i="4"/>
  <c r="H24" i="4"/>
  <c r="F25" i="3"/>
  <c r="K23" i="8" l="1" a="1"/>
  <c r="K23" i="8" s="1"/>
  <c r="H23" i="8"/>
  <c r="F23" i="8"/>
  <c r="D24" i="5"/>
  <c r="F24" i="5" s="1"/>
  <c r="E24" i="5"/>
  <c r="E24" i="7"/>
  <c r="D24" i="7"/>
  <c r="F24" i="7" s="1"/>
  <c r="D25" i="6"/>
  <c r="H25" i="6" s="1"/>
  <c r="F24" i="9"/>
  <c r="L25" i="6"/>
  <c r="I24" i="4"/>
  <c r="J24" i="4"/>
  <c r="J25" i="3"/>
  <c r="I25" i="3"/>
  <c r="J24" i="9"/>
  <c r="I24" i="9"/>
  <c r="L24" i="8" l="1"/>
  <c r="E24" i="8"/>
  <c r="D24" i="8"/>
  <c r="H24" i="5"/>
  <c r="J24" i="5" s="1"/>
  <c r="H24" i="7"/>
  <c r="J24" i="7" s="1"/>
  <c r="F25" i="6"/>
  <c r="K25" i="3" a="1"/>
  <c r="K25" i="3" s="1"/>
  <c r="L26" i="3" s="1"/>
  <c r="K24" i="9" a="1"/>
  <c r="K24" i="9" s="1"/>
  <c r="D25" i="9" s="1"/>
  <c r="I25" i="6"/>
  <c r="J25" i="6"/>
  <c r="K24" i="4" a="1"/>
  <c r="K24" i="4" s="1"/>
  <c r="I24" i="5" l="1"/>
  <c r="K24" i="5" s="1" a="1"/>
  <c r="K24" i="5" s="1"/>
  <c r="L25" i="5" s="1"/>
  <c r="F24" i="8"/>
  <c r="H24" i="8"/>
  <c r="I24" i="7"/>
  <c r="K24" i="7" s="1" a="1"/>
  <c r="K24" i="7" s="1"/>
  <c r="E25" i="7" s="1"/>
  <c r="E26" i="3"/>
  <c r="D26" i="3"/>
  <c r="E25" i="9"/>
  <c r="H25" i="9" s="1"/>
  <c r="L25" i="9"/>
  <c r="J25" i="4"/>
  <c r="I25" i="4"/>
  <c r="E25" i="4"/>
  <c r="D25" i="4"/>
  <c r="L25" i="4"/>
  <c r="K25" i="6" a="1"/>
  <c r="K25" i="6" s="1"/>
  <c r="D25" i="5" l="1"/>
  <c r="F25" i="5" s="1"/>
  <c r="E25" i="5"/>
  <c r="I24" i="8"/>
  <c r="J24" i="8"/>
  <c r="H26" i="3"/>
  <c r="J26" i="3" s="1"/>
  <c r="F25" i="9"/>
  <c r="F26" i="3"/>
  <c r="D25" i="7"/>
  <c r="F25" i="7" s="1"/>
  <c r="L25" i="7"/>
  <c r="J25" i="9"/>
  <c r="I25" i="9"/>
  <c r="K25" i="4" a="1"/>
  <c r="K25" i="4" s="1"/>
  <c r="L26" i="6"/>
  <c r="E26" i="6"/>
  <c r="D26" i="6"/>
  <c r="F25" i="4"/>
  <c r="H25" i="4"/>
  <c r="H25" i="5" l="1"/>
  <c r="I25" i="5" s="1"/>
  <c r="K24" i="8" a="1"/>
  <c r="K24" i="8" s="1"/>
  <c r="I26" i="3"/>
  <c r="K26" i="3" s="1" a="1"/>
  <c r="K26" i="3" s="1"/>
  <c r="E27" i="3" s="1"/>
  <c r="H25" i="7"/>
  <c r="J25" i="7" s="1"/>
  <c r="K25" i="9" a="1"/>
  <c r="K25" i="9" s="1"/>
  <c r="I26" i="9" s="1"/>
  <c r="H26" i="6"/>
  <c r="F26" i="6"/>
  <c r="E26" i="4"/>
  <c r="D26" i="4"/>
  <c r="L26" i="4"/>
  <c r="J25" i="5" l="1"/>
  <c r="K25" i="5" s="1" a="1"/>
  <c r="K25" i="5" s="1"/>
  <c r="D26" i="5" s="1"/>
  <c r="L25" i="8"/>
  <c r="D25" i="8"/>
  <c r="E25" i="8"/>
  <c r="D27" i="3"/>
  <c r="F27" i="3" s="1"/>
  <c r="L27" i="3"/>
  <c r="D26" i="9"/>
  <c r="L26" i="9"/>
  <c r="J26" i="9"/>
  <c r="K26" i="9" s="1" a="1"/>
  <c r="K26" i="9" s="1"/>
  <c r="I25" i="7"/>
  <c r="K25" i="7" s="1" a="1"/>
  <c r="K25" i="7" s="1"/>
  <c r="L26" i="7" s="1"/>
  <c r="E26" i="9"/>
  <c r="F26" i="4"/>
  <c r="H26" i="4"/>
  <c r="I26" i="6"/>
  <c r="J26" i="6"/>
  <c r="H27" i="3" l="1"/>
  <c r="J27" i="3" s="1"/>
  <c r="L26" i="5"/>
  <c r="E26" i="5"/>
  <c r="H26" i="5" s="1"/>
  <c r="H25" i="8"/>
  <c r="F25" i="8"/>
  <c r="F26" i="9"/>
  <c r="H26" i="9"/>
  <c r="D26" i="7"/>
  <c r="F26" i="7" s="1"/>
  <c r="E26" i="7"/>
  <c r="E27" i="9"/>
  <c r="L27" i="9"/>
  <c r="D27" i="9"/>
  <c r="I27" i="3"/>
  <c r="K26" i="6" a="1"/>
  <c r="K26" i="6" s="1"/>
  <c r="J26" i="4"/>
  <c r="I26" i="4"/>
  <c r="F26" i="5"/>
  <c r="J25" i="8" l="1"/>
  <c r="I25" i="8"/>
  <c r="H26" i="7"/>
  <c r="J26" i="7" s="1"/>
  <c r="K26" i="4" a="1"/>
  <c r="K26" i="4" s="1"/>
  <c r="L27" i="4" s="1"/>
  <c r="F27" i="9"/>
  <c r="H27" i="9"/>
  <c r="K27" i="3" a="1"/>
  <c r="K27" i="3" s="1"/>
  <c r="L27" i="6"/>
  <c r="E27" i="6"/>
  <c r="D27" i="6"/>
  <c r="I26" i="5"/>
  <c r="J26" i="5"/>
  <c r="K25" i="8" l="1" a="1"/>
  <c r="K25" i="8" s="1"/>
  <c r="D26" i="8" s="1"/>
  <c r="I26" i="7"/>
  <c r="K26" i="7" s="1" a="1"/>
  <c r="K26" i="7" s="1"/>
  <c r="D27" i="4"/>
  <c r="F27" i="4" s="1"/>
  <c r="E27" i="4"/>
  <c r="K26" i="5" a="1"/>
  <c r="K26" i="5" s="1"/>
  <c r="L27" i="5" s="1"/>
  <c r="E28" i="3"/>
  <c r="D28" i="3"/>
  <c r="L28" i="3"/>
  <c r="J27" i="9"/>
  <c r="I27" i="9"/>
  <c r="F27" i="6"/>
  <c r="H27" i="6"/>
  <c r="L26" i="8" l="1"/>
  <c r="E26" i="8"/>
  <c r="H26" i="8" s="1"/>
  <c r="F26" i="8"/>
  <c r="H27" i="4"/>
  <c r="I27" i="4" s="1"/>
  <c r="D27" i="5"/>
  <c r="F27" i="5" s="1"/>
  <c r="E27" i="5"/>
  <c r="K27" i="9" a="1"/>
  <c r="K27" i="9" s="1"/>
  <c r="D28" i="9" s="1"/>
  <c r="E27" i="7"/>
  <c r="D27" i="7"/>
  <c r="L27" i="7"/>
  <c r="J27" i="6"/>
  <c r="I27" i="6"/>
  <c r="F28" i="3"/>
  <c r="H28" i="3"/>
  <c r="H27" i="5" l="1"/>
  <c r="I27" i="5" s="1"/>
  <c r="I26" i="8"/>
  <c r="J26" i="8"/>
  <c r="J27" i="4"/>
  <c r="K27" i="4" s="1" a="1"/>
  <c r="K27" i="4" s="1"/>
  <c r="L28" i="4" s="1"/>
  <c r="E28" i="9"/>
  <c r="F28" i="9" s="1"/>
  <c r="L28" i="9"/>
  <c r="I28" i="3"/>
  <c r="J28" i="3"/>
  <c r="F27" i="7"/>
  <c r="H27" i="7"/>
  <c r="K27" i="6" a="1"/>
  <c r="K27" i="6" s="1"/>
  <c r="J27" i="5" l="1"/>
  <c r="K26" i="8" a="1"/>
  <c r="K26" i="8" s="1"/>
  <c r="D28" i="4"/>
  <c r="F28" i="4" s="1"/>
  <c r="E28" i="4"/>
  <c r="I28" i="4"/>
  <c r="J28" i="4"/>
  <c r="H28" i="9"/>
  <c r="J28" i="9" s="1"/>
  <c r="I27" i="7"/>
  <c r="J27" i="7"/>
  <c r="L28" i="6"/>
  <c r="E28" i="6"/>
  <c r="D28" i="6"/>
  <c r="K28" i="3" a="1"/>
  <c r="K28" i="3" s="1"/>
  <c r="K27" i="5" a="1"/>
  <c r="K27" i="5" s="1"/>
  <c r="I27" i="8" l="1"/>
  <c r="D27" i="8"/>
  <c r="L27" i="8"/>
  <c r="E27" i="8"/>
  <c r="J27" i="8"/>
  <c r="H28" i="4"/>
  <c r="I28" i="9"/>
  <c r="K28" i="9" s="1" a="1"/>
  <c r="K28" i="9" s="1"/>
  <c r="K28" i="4" a="1"/>
  <c r="K28" i="4" s="1"/>
  <c r="D29" i="4" s="1"/>
  <c r="F29" i="4" s="1"/>
  <c r="E29" i="3"/>
  <c r="L29" i="3"/>
  <c r="D29" i="3"/>
  <c r="D28" i="5"/>
  <c r="L28" i="5"/>
  <c r="E28" i="5"/>
  <c r="K27" i="7" a="1"/>
  <c r="K27" i="7" s="1"/>
  <c r="F28" i="6"/>
  <c r="H28" i="6"/>
  <c r="K27" i="8" l="1" a="1"/>
  <c r="K27" i="8" s="1"/>
  <c r="L28" i="8" s="1"/>
  <c r="F27" i="8"/>
  <c r="H27" i="8"/>
  <c r="L29" i="4"/>
  <c r="E29" i="4"/>
  <c r="H29" i="4" s="1"/>
  <c r="F28" i="5"/>
  <c r="H28" i="5"/>
  <c r="F29" i="3"/>
  <c r="H29" i="3"/>
  <c r="E28" i="7"/>
  <c r="D28" i="7"/>
  <c r="L28" i="7"/>
  <c r="I28" i="6"/>
  <c r="J28" i="6"/>
  <c r="E29" i="9"/>
  <c r="D29" i="9"/>
  <c r="L29" i="9"/>
  <c r="D28" i="8" l="1"/>
  <c r="F28" i="8" s="1"/>
  <c r="E28" i="8"/>
  <c r="I29" i="4"/>
  <c r="J29" i="4"/>
  <c r="F28" i="7"/>
  <c r="H28" i="7"/>
  <c r="K28" i="6" a="1"/>
  <c r="K28" i="6" s="1"/>
  <c r="J29" i="3"/>
  <c r="I29" i="3"/>
  <c r="F29" i="9"/>
  <c r="H29" i="9"/>
  <c r="J28" i="5"/>
  <c r="I28" i="5"/>
  <c r="H28" i="8" l="1"/>
  <c r="J28" i="8" s="1"/>
  <c r="K28" i="5" a="1"/>
  <c r="K28" i="5" s="1"/>
  <c r="E29" i="5" s="1"/>
  <c r="K29" i="4" a="1"/>
  <c r="K29" i="4" s="1"/>
  <c r="E30" i="4" s="1"/>
  <c r="E29" i="6"/>
  <c r="D29" i="6"/>
  <c r="L29" i="6"/>
  <c r="J29" i="9"/>
  <c r="I29" i="9"/>
  <c r="K29" i="3" a="1"/>
  <c r="K29" i="3" s="1"/>
  <c r="I28" i="7"/>
  <c r="J28" i="7"/>
  <c r="L29" i="5" l="1"/>
  <c r="D29" i="5"/>
  <c r="F29" i="5" s="1"/>
  <c r="I28" i="8"/>
  <c r="K28" i="8" s="1" a="1"/>
  <c r="K28" i="8" s="1"/>
  <c r="L29" i="8" s="1"/>
  <c r="L30" i="4"/>
  <c r="D30" i="4"/>
  <c r="H30" i="4" s="1"/>
  <c r="K28" i="7" a="1"/>
  <c r="K28" i="7" s="1"/>
  <c r="E29" i="7" s="1"/>
  <c r="K29" i="9" a="1"/>
  <c r="K29" i="9" s="1"/>
  <c r="D30" i="9" s="1"/>
  <c r="L30" i="3"/>
  <c r="I30" i="3"/>
  <c r="J30" i="3"/>
  <c r="E30" i="3"/>
  <c r="D30" i="3"/>
  <c r="F29" i="6"/>
  <c r="H29" i="6"/>
  <c r="E29" i="8" l="1"/>
  <c r="D29" i="8"/>
  <c r="F29" i="8" s="1"/>
  <c r="F30" i="4"/>
  <c r="H29" i="5"/>
  <c r="I29" i="5" s="1"/>
  <c r="E30" i="9"/>
  <c r="H30" i="9" s="1"/>
  <c r="L30" i="9"/>
  <c r="L29" i="7"/>
  <c r="D29" i="7"/>
  <c r="F29" i="7" s="1"/>
  <c r="I29" i="6"/>
  <c r="J29" i="6"/>
  <c r="H30" i="3"/>
  <c r="F30" i="3"/>
  <c r="J30" i="4"/>
  <c r="I30" i="4"/>
  <c r="K30" i="3" a="1"/>
  <c r="K30" i="3" s="1"/>
  <c r="H29" i="8" l="1"/>
  <c r="I29" i="8" s="1"/>
  <c r="J29" i="5"/>
  <c r="K29" i="5" s="1" a="1"/>
  <c r="K29" i="5" s="1"/>
  <c r="E30" i="5" s="1"/>
  <c r="F30" i="9"/>
  <c r="H29" i="7"/>
  <c r="I29" i="7" s="1"/>
  <c r="K29" i="6" a="1"/>
  <c r="K29" i="6" s="1"/>
  <c r="L30" i="6" s="1"/>
  <c r="I30" i="9"/>
  <c r="J30" i="9"/>
  <c r="L31" i="3"/>
  <c r="E31" i="3"/>
  <c r="D31" i="3"/>
  <c r="K30" i="4" a="1"/>
  <c r="K30" i="4" s="1"/>
  <c r="J29" i="8" l="1"/>
  <c r="K29" i="8" s="1" a="1"/>
  <c r="K29" i="8" s="1"/>
  <c r="L30" i="8" s="1"/>
  <c r="J29" i="7"/>
  <c r="K29" i="7" s="1" a="1"/>
  <c r="K29" i="7" s="1"/>
  <c r="E30" i="6"/>
  <c r="D30" i="6"/>
  <c r="F30" i="6" s="1"/>
  <c r="L30" i="5"/>
  <c r="D30" i="5"/>
  <c r="F30" i="5" s="1"/>
  <c r="K30" i="9" a="1"/>
  <c r="K30" i="9" s="1"/>
  <c r="L31" i="4"/>
  <c r="E31" i="4"/>
  <c r="D31" i="4"/>
  <c r="F31" i="3"/>
  <c r="H31" i="3"/>
  <c r="D30" i="8" l="1"/>
  <c r="F30" i="8" s="1"/>
  <c r="E30" i="8"/>
  <c r="E30" i="7"/>
  <c r="D30" i="7"/>
  <c r="F30" i="7" s="1"/>
  <c r="L30" i="7"/>
  <c r="H30" i="5"/>
  <c r="I30" i="5" s="1"/>
  <c r="H30" i="6"/>
  <c r="J30" i="6" s="1"/>
  <c r="L31" i="9"/>
  <c r="D31" i="9"/>
  <c r="E31" i="9"/>
  <c r="I31" i="3"/>
  <c r="J31" i="3"/>
  <c r="H31" i="4"/>
  <c r="F31" i="4"/>
  <c r="H30" i="8" l="1"/>
  <c r="J30" i="8" s="1"/>
  <c r="H30" i="7"/>
  <c r="J30" i="7" s="1"/>
  <c r="J30" i="5"/>
  <c r="K30" i="5" s="1" a="1"/>
  <c r="K30" i="5" s="1"/>
  <c r="E31" i="5" s="1"/>
  <c r="I30" i="6"/>
  <c r="K30" i="6" s="1" a="1"/>
  <c r="K30" i="6" s="1"/>
  <c r="K31" i="3" a="1"/>
  <c r="K31" i="3" s="1"/>
  <c r="E32" i="3" s="1"/>
  <c r="I31" i="4"/>
  <c r="J31" i="4"/>
  <c r="H31" i="9"/>
  <c r="F31" i="9"/>
  <c r="I30" i="7" l="1"/>
  <c r="K30" i="7" s="1" a="1"/>
  <c r="K30" i="7" s="1"/>
  <c r="E31" i="7" s="1"/>
  <c r="I30" i="8"/>
  <c r="K30" i="8" s="1" a="1"/>
  <c r="K30" i="8" s="1"/>
  <c r="E31" i="8" s="1"/>
  <c r="L32" i="3"/>
  <c r="L31" i="5"/>
  <c r="D32" i="3"/>
  <c r="H32" i="3" s="1"/>
  <c r="K31" i="4" a="1"/>
  <c r="K31" i="4" s="1"/>
  <c r="E32" i="4" s="1"/>
  <c r="D31" i="5"/>
  <c r="H31" i="5" s="1"/>
  <c r="L31" i="6"/>
  <c r="D31" i="6"/>
  <c r="E31" i="6"/>
  <c r="J31" i="9"/>
  <c r="I31" i="9"/>
  <c r="D31" i="8" l="1"/>
  <c r="H31" i="8" s="1"/>
  <c r="L31" i="8"/>
  <c r="F32" i="3"/>
  <c r="D32" i="4"/>
  <c r="H32" i="4" s="1"/>
  <c r="L32" i="4"/>
  <c r="F31" i="5"/>
  <c r="L31" i="7"/>
  <c r="D31" i="7"/>
  <c r="H31" i="7" s="1"/>
  <c r="K31" i="9" a="1"/>
  <c r="K31" i="9" s="1"/>
  <c r="J31" i="5"/>
  <c r="I31" i="5"/>
  <c r="I32" i="3"/>
  <c r="J32" i="3"/>
  <c r="F31" i="6"/>
  <c r="H31" i="6"/>
  <c r="F31" i="8" l="1"/>
  <c r="F31" i="7"/>
  <c r="J31" i="8"/>
  <c r="I31" i="8"/>
  <c r="F32" i="4"/>
  <c r="K32" i="3" a="1"/>
  <c r="K32" i="3" s="1"/>
  <c r="D33" i="3" s="1"/>
  <c r="J31" i="7"/>
  <c r="I31" i="7"/>
  <c r="K31" i="5" a="1"/>
  <c r="K31" i="5" s="1"/>
  <c r="L32" i="9"/>
  <c r="E32" i="9"/>
  <c r="D32" i="9"/>
  <c r="I32" i="4"/>
  <c r="J32" i="4"/>
  <c r="J31" i="6"/>
  <c r="I31" i="6"/>
  <c r="K31" i="8" l="1" a="1"/>
  <c r="K31" i="8" s="1"/>
  <c r="K31" i="7" a="1"/>
  <c r="K31" i="7" s="1"/>
  <c r="E32" i="7" s="1"/>
  <c r="L33" i="3"/>
  <c r="E33" i="3"/>
  <c r="H33" i="3" s="1"/>
  <c r="K31" i="6" a="1"/>
  <c r="K31" i="6" s="1"/>
  <c r="D32" i="5"/>
  <c r="E32" i="5"/>
  <c r="L32" i="5"/>
  <c r="F33" i="3"/>
  <c r="K32" i="4" a="1"/>
  <c r="K32" i="4" s="1"/>
  <c r="F32" i="9"/>
  <c r="H32" i="9"/>
  <c r="E32" i="8" l="1"/>
  <c r="D32" i="8"/>
  <c r="L32" i="8"/>
  <c r="D32" i="7"/>
  <c r="H32" i="7" s="1"/>
  <c r="L32" i="7"/>
  <c r="I32" i="9"/>
  <c r="J32" i="9"/>
  <c r="J33" i="3"/>
  <c r="I33" i="3"/>
  <c r="E33" i="4"/>
  <c r="D33" i="4"/>
  <c r="L33" i="4"/>
  <c r="H32" i="5"/>
  <c r="F32" i="5"/>
  <c r="L32" i="6"/>
  <c r="D32" i="6"/>
  <c r="E32" i="6"/>
  <c r="F32" i="8" l="1"/>
  <c r="H32" i="8"/>
  <c r="F32" i="7"/>
  <c r="K33" i="3" a="1"/>
  <c r="K33" i="3" s="1"/>
  <c r="L34" i="3" s="1"/>
  <c r="F33" i="4"/>
  <c r="H33" i="4"/>
  <c r="F32" i="6"/>
  <c r="H32" i="6"/>
  <c r="J32" i="5"/>
  <c r="I32" i="5"/>
  <c r="J32" i="7"/>
  <c r="I32" i="7"/>
  <c r="K32" i="9" a="1"/>
  <c r="K32" i="9" s="1"/>
  <c r="J32" i="8" l="1"/>
  <c r="I32" i="8"/>
  <c r="K32" i="7" a="1"/>
  <c r="K32" i="7" s="1"/>
  <c r="E33" i="7" s="1"/>
  <c r="E34" i="3"/>
  <c r="D34" i="3"/>
  <c r="E33" i="9"/>
  <c r="L33" i="9"/>
  <c r="D33" i="9"/>
  <c r="K32" i="5" a="1"/>
  <c r="K32" i="5" s="1"/>
  <c r="J32" i="6"/>
  <c r="I32" i="6"/>
  <c r="J33" i="4"/>
  <c r="I33" i="4"/>
  <c r="K32" i="8" l="1" a="1"/>
  <c r="K32" i="8" s="1"/>
  <c r="H34" i="3"/>
  <c r="J34" i="3" s="1"/>
  <c r="F34" i="3"/>
  <c r="D33" i="7"/>
  <c r="F33" i="7" s="1"/>
  <c r="L33" i="7"/>
  <c r="K32" i="6" a="1"/>
  <c r="K32" i="6" s="1"/>
  <c r="L33" i="6" s="1"/>
  <c r="K33" i="4" a="1"/>
  <c r="K33" i="4" s="1"/>
  <c r="D34" i="4" s="1"/>
  <c r="D33" i="5"/>
  <c r="L33" i="5"/>
  <c r="E33" i="5"/>
  <c r="F33" i="9"/>
  <c r="H33" i="9"/>
  <c r="I34" i="3" l="1"/>
  <c r="K34" i="3" s="1" a="1"/>
  <c r="K34" i="3" s="1"/>
  <c r="L35" i="3" s="1"/>
  <c r="E33" i="8"/>
  <c r="D33" i="8"/>
  <c r="L33" i="8"/>
  <c r="H33" i="7"/>
  <c r="J33" i="7" s="1"/>
  <c r="D33" i="6"/>
  <c r="F33" i="6" s="1"/>
  <c r="S12" i="6" s="1"/>
  <c r="E33" i="6"/>
  <c r="L34" i="4"/>
  <c r="E34" i="4"/>
  <c r="H34" i="4" s="1"/>
  <c r="J33" i="9"/>
  <c r="I33" i="9"/>
  <c r="F33" i="5"/>
  <c r="S12" i="5" s="1"/>
  <c r="S11" i="5"/>
  <c r="E7" i="1" s="1"/>
  <c r="H33" i="5"/>
  <c r="F34" i="4"/>
  <c r="H33" i="6" l="1"/>
  <c r="I33" i="6" s="1"/>
  <c r="S11" i="6"/>
  <c r="E8" i="1" s="1"/>
  <c r="I33" i="7"/>
  <c r="K33" i="7" s="1" a="1"/>
  <c r="K33" i="7" s="1"/>
  <c r="L34" i="7" s="1"/>
  <c r="F33" i="8"/>
  <c r="H33" i="8"/>
  <c r="E35" i="3"/>
  <c r="D35" i="3"/>
  <c r="F35" i="3" s="1"/>
  <c r="K33" i="9" a="1"/>
  <c r="K33" i="9" s="1"/>
  <c r="D34" i="9" s="1"/>
  <c r="I34" i="4"/>
  <c r="J34" i="4"/>
  <c r="I33" i="5"/>
  <c r="J33" i="5"/>
  <c r="J33" i="6" l="1"/>
  <c r="K33" i="6" s="1" a="1"/>
  <c r="K33" i="6" s="1"/>
  <c r="S7" i="6" s="1"/>
  <c r="G8" i="1" s="1"/>
  <c r="I33" i="8"/>
  <c r="J33" i="8"/>
  <c r="H35" i="3"/>
  <c r="I35" i="3" s="1"/>
  <c r="L34" i="9"/>
  <c r="E34" i="9"/>
  <c r="F34" i="9" s="1"/>
  <c r="D34" i="7"/>
  <c r="F34" i="7" s="1"/>
  <c r="E34" i="7"/>
  <c r="K34" i="4" a="1"/>
  <c r="K34" i="4" s="1"/>
  <c r="L35" i="4" s="1"/>
  <c r="K33" i="5" a="1"/>
  <c r="K33" i="5" s="1"/>
  <c r="S7" i="5" s="1"/>
  <c r="G7" i="1" s="1"/>
  <c r="J35" i="3"/>
  <c r="K33" i="8" l="1" a="1"/>
  <c r="K33" i="8" s="1"/>
  <c r="H34" i="9"/>
  <c r="I34" i="9" s="1"/>
  <c r="H34" i="7"/>
  <c r="I34" i="7" s="1"/>
  <c r="D35" i="4"/>
  <c r="E35" i="4"/>
  <c r="K35" i="3" a="1"/>
  <c r="K35" i="3" s="1"/>
  <c r="D36" i="3" s="1"/>
  <c r="D34" i="8" l="1"/>
  <c r="L34" i="8"/>
  <c r="E34" i="8"/>
  <c r="H35" i="4"/>
  <c r="J35" i="4" s="1"/>
  <c r="J34" i="7"/>
  <c r="F35" i="4"/>
  <c r="J34" i="9"/>
  <c r="K34" i="9" s="1" a="1"/>
  <c r="K34" i="9" s="1"/>
  <c r="E35" i="9" s="1"/>
  <c r="E36" i="3"/>
  <c r="H36" i="3" s="1"/>
  <c r="K34" i="7" a="1"/>
  <c r="K34" i="7" s="1"/>
  <c r="D35" i="7" s="1"/>
  <c r="L36" i="3"/>
  <c r="F36" i="3"/>
  <c r="I35" i="4" l="1"/>
  <c r="K35" i="4" s="1" a="1"/>
  <c r="K35" i="4" s="1"/>
  <c r="F34" i="8"/>
  <c r="H34" i="8"/>
  <c r="J35" i="7"/>
  <c r="E35" i="7"/>
  <c r="H35" i="7" s="1"/>
  <c r="I35" i="7"/>
  <c r="L35" i="7"/>
  <c r="L35" i="9"/>
  <c r="D35" i="9"/>
  <c r="F35" i="9" s="1"/>
  <c r="F35" i="7"/>
  <c r="J36" i="3"/>
  <c r="I36" i="3"/>
  <c r="J34" i="8" l="1"/>
  <c r="I34" i="8"/>
  <c r="K35" i="7" a="1"/>
  <c r="K35" i="7" s="1"/>
  <c r="L36" i="7" s="1"/>
  <c r="H35" i="9"/>
  <c r="J35" i="9" s="1"/>
  <c r="K36" i="3" a="1"/>
  <c r="K36" i="3" s="1"/>
  <c r="D37" i="3" s="1"/>
  <c r="L36" i="4"/>
  <c r="E36" i="4"/>
  <c r="D36" i="4"/>
  <c r="K34" i="8" l="1" a="1"/>
  <c r="K34" i="8" s="1"/>
  <c r="E35" i="8" s="1"/>
  <c r="D36" i="7"/>
  <c r="F36" i="7" s="1"/>
  <c r="E36" i="7"/>
  <c r="L37" i="3"/>
  <c r="I35" i="9"/>
  <c r="K35" i="9" s="1" a="1"/>
  <c r="K35" i="9" s="1"/>
  <c r="L36" i="9" s="1"/>
  <c r="E37" i="3"/>
  <c r="H37" i="3" s="1"/>
  <c r="F36" i="4"/>
  <c r="H36" i="4"/>
  <c r="F37" i="3"/>
  <c r="E36" i="9" l="1"/>
  <c r="L35" i="8"/>
  <c r="D35" i="8"/>
  <c r="F35" i="8" s="1"/>
  <c r="D36" i="9"/>
  <c r="H36" i="7"/>
  <c r="J36" i="7" s="1"/>
  <c r="J37" i="3"/>
  <c r="I37" i="3"/>
  <c r="I36" i="7"/>
  <c r="J36" i="4"/>
  <c r="I36" i="4"/>
  <c r="F36" i="9" l="1"/>
  <c r="H35" i="8"/>
  <c r="I35" i="8" s="1"/>
  <c r="H36" i="9"/>
  <c r="K37" i="3" a="1"/>
  <c r="K37" i="3" s="1"/>
  <c r="D38" i="3" s="1"/>
  <c r="K36" i="7" a="1"/>
  <c r="K36" i="7" s="1"/>
  <c r="E37" i="7" s="1"/>
  <c r="K36" i="4" a="1"/>
  <c r="K36" i="4" s="1"/>
  <c r="E37" i="4" s="1"/>
  <c r="I36" i="9"/>
  <c r="J36" i="9"/>
  <c r="J35" i="8" l="1"/>
  <c r="K35" i="8" s="1" a="1"/>
  <c r="K35" i="8" s="1"/>
  <c r="L36" i="8" s="1"/>
  <c r="E38" i="3"/>
  <c r="H38" i="3" s="1"/>
  <c r="L38" i="3"/>
  <c r="D37" i="7"/>
  <c r="F37" i="7" s="1"/>
  <c r="L37" i="7"/>
  <c r="L37" i="4"/>
  <c r="D37" i="4"/>
  <c r="H37" i="4" s="1"/>
  <c r="K36" i="9" a="1"/>
  <c r="K36" i="9" s="1"/>
  <c r="S11" i="3"/>
  <c r="E5" i="1" s="1"/>
  <c r="F38" i="3"/>
  <c r="S12" i="3" s="1"/>
  <c r="H37" i="7" l="1"/>
  <c r="E36" i="8"/>
  <c r="D36" i="8"/>
  <c r="F36" i="8" s="1"/>
  <c r="F37" i="4"/>
  <c r="J37" i="4"/>
  <c r="I37" i="4"/>
  <c r="I38" i="3"/>
  <c r="J38" i="3"/>
  <c r="E37" i="9"/>
  <c r="D37" i="9"/>
  <c r="L37" i="9"/>
  <c r="I37" i="7"/>
  <c r="J37" i="7"/>
  <c r="H36" i="8" l="1"/>
  <c r="I36" i="8" s="1"/>
  <c r="K37" i="4" a="1"/>
  <c r="K37" i="4" s="1"/>
  <c r="L38" i="4" s="1"/>
  <c r="H37" i="9"/>
  <c r="F37" i="9"/>
  <c r="K37" i="7" a="1"/>
  <c r="K37" i="7" s="1"/>
  <c r="K38" i="3" a="1"/>
  <c r="K38" i="3" s="1"/>
  <c r="S7" i="3" s="1"/>
  <c r="G5" i="1" s="1"/>
  <c r="J36" i="8" l="1"/>
  <c r="K36" i="8" s="1" a="1"/>
  <c r="K36" i="8" s="1"/>
  <c r="D37" i="8" s="1"/>
  <c r="D38" i="4"/>
  <c r="S11" i="4" s="1"/>
  <c r="E6" i="1" s="1"/>
  <c r="E38" i="4"/>
  <c r="E38" i="7"/>
  <c r="D38" i="7"/>
  <c r="L38" i="7"/>
  <c r="J37" i="9"/>
  <c r="I37" i="9"/>
  <c r="E37" i="8" l="1"/>
  <c r="H37" i="8" s="1"/>
  <c r="L37" i="8"/>
  <c r="F37" i="8"/>
  <c r="H38" i="4"/>
  <c r="F38" i="4"/>
  <c r="S12" i="4" s="1"/>
  <c r="K37" i="9" a="1"/>
  <c r="K37" i="9" s="1"/>
  <c r="E38" i="9" s="1"/>
  <c r="F38" i="7"/>
  <c r="S12" i="7" s="1"/>
  <c r="S11" i="7"/>
  <c r="E9" i="1" s="1"/>
  <c r="H38" i="7"/>
  <c r="J38" i="4"/>
  <c r="I38" i="4"/>
  <c r="J37" i="8" l="1"/>
  <c r="I37" i="8"/>
  <c r="L38" i="9"/>
  <c r="D38" i="9"/>
  <c r="F38" i="9" s="1"/>
  <c r="S12" i="9" s="1"/>
  <c r="K38" i="4" a="1"/>
  <c r="K38" i="4" s="1"/>
  <c r="S7" i="4" s="1"/>
  <c r="G6" i="1" s="1"/>
  <c r="J38" i="7"/>
  <c r="I38" i="7"/>
  <c r="S11" i="9"/>
  <c r="E11" i="1" s="1"/>
  <c r="H38" i="9"/>
  <c r="K37" i="8" l="1" a="1"/>
  <c r="K37" i="8" s="1"/>
  <c r="L38" i="8" s="1"/>
  <c r="K38" i="7" a="1"/>
  <c r="K38" i="7" s="1"/>
  <c r="S7" i="7" s="1"/>
  <c r="G9" i="1" s="1"/>
  <c r="J38" i="9"/>
  <c r="I38" i="9"/>
  <c r="D38" i="8" l="1"/>
  <c r="E38" i="8"/>
  <c r="K38" i="9" a="1"/>
  <c r="K38" i="9" s="1"/>
  <c r="S7" i="9" s="1"/>
  <c r="G11" i="1" s="1"/>
  <c r="F38" i="8" l="1"/>
  <c r="S12" i="8" s="1"/>
  <c r="H38" i="8"/>
  <c r="S11" i="8"/>
  <c r="E10" i="1" s="1"/>
  <c r="I38" i="8" l="1"/>
  <c r="J38" i="8"/>
  <c r="K38" i="8" l="1" a="1"/>
  <c r="K38" i="8" s="1"/>
  <c r="S7" i="8" s="1"/>
  <c r="G10" i="1" s="1"/>
</calcChain>
</file>

<file path=xl/sharedStrings.xml><?xml version="1.0" encoding="utf-8"?>
<sst xmlns="http://schemas.openxmlformats.org/spreadsheetml/2006/main" count="273" uniqueCount="82">
  <si>
    <t>HSR vs Central Hub vs Combined vs BLR City — Executive Summary</t>
  </si>
  <si>
    <t>Updated through 16-Jul. Combined = task-volume-weighted pooling of HSR + Central. BLR City = city-wide aggregate across all hubs (no per-day task count available, so uses an SD-based control limit rather than the binomial p-chart formula).</t>
  </si>
  <si>
    <t>View</t>
  </si>
  <si>
    <t>Metric</t>
  </si>
  <si>
    <t>Target</t>
  </si>
  <si>
    <t>Avg. Performance</t>
  </si>
  <si>
    <t>Current Center (p-bar)</t>
  </si>
  <si>
    <t>Days Meeting Target</t>
  </si>
  <si>
    <t>CUSUM Shifts Detected</t>
  </si>
  <si>
    <t>HSR</t>
  </si>
  <si>
    <t>Arrival OT %</t>
  </si>
  <si>
    <t>Availability %</t>
  </si>
  <si>
    <t>Central Hub</t>
  </si>
  <si>
    <t>Combined</t>
  </si>
  <si>
    <t>BLR City</t>
  </si>
  <si>
    <t>Arrival OT % (all hubs)</t>
  </si>
  <si>
    <t>Key takeaway</t>
  </si>
  <si>
    <t>BLR City overall (94.8% avg, right at the 95% target) performs far better than HSR (90.2%) or Central Hub (83.3%) individually — meaning the rest of the city's hubs are pulling the city average up while HSR and especially Central Hub lag behind. Central Hub remains the weakest link on both metrics, most severely on Availability (avg 59.9% vs 90% target, current CUSUM center 45.5% — a ~45-point gap). The Combined (HSR+Central pooled) view sits well below the City average, confirming these two hubs are underperforming relative to the rest of BLR, not just relative to target. Central Hub should remain the top investigation priority, and it's worth understanding what the better-performing city hubs are doing differently.</t>
  </si>
  <si>
    <t xml:space="preserve">Combined </t>
  </si>
  <si>
    <t xml:space="preserve">HSR Hub </t>
  </si>
  <si>
    <t>Date</t>
  </si>
  <si>
    <t>Combined n (HSR+Central)</t>
  </si>
  <si>
    <t>Combined OT %</t>
  </si>
  <si>
    <t>Combined Availability %</t>
  </si>
  <si>
    <t>HSR n</t>
  </si>
  <si>
    <t>Central n</t>
  </si>
  <si>
    <t xml:space="preserve">BLR City Total Arrival </t>
  </si>
  <si>
    <t># Total Tasks</t>
  </si>
  <si>
    <t>Overall  OT %</t>
  </si>
  <si>
    <t xml:space="preserve">Availability </t>
  </si>
  <si>
    <t>HSR — Arrival On-Time % — CUSUM Control Chart &amp; Target Analysis</t>
  </si>
  <si>
    <t>Tabular CUSUM: center line (p-bar) re-estimates once a sustained shift is detected (no UCL). k=0.5 SD allowance, H=4 SD decision interval. S(H)/S(L) floored at zero. Data pulls live from 'Raw-Data' — extend formulas down after adding new rows there.</t>
  </si>
  <si>
    <t>Sample Size (n)</t>
  </si>
  <si>
    <t>p-bar (CL)</t>
  </si>
  <si>
    <t>SD</t>
  </si>
  <si>
    <t>LCL</t>
  </si>
  <si>
    <t>Z value</t>
  </si>
  <si>
    <t>S(H)</t>
  </si>
  <si>
    <t>S(L)</t>
  </si>
  <si>
    <t>Shift detected?</t>
  </si>
  <si>
    <t>Count</t>
  </si>
  <si>
    <t>Consider in calc</t>
  </si>
  <si>
    <t>Rows</t>
  </si>
  <si>
    <t>Meets Target?</t>
  </si>
  <si>
    <t>Ignore?</t>
  </si>
  <si>
    <t>Summary statistics</t>
  </si>
  <si>
    <t>Number of days (k)</t>
  </si>
  <si>
    <t>Shifts detected (CUSUM)</t>
  </si>
  <si>
    <t>Days meeting target</t>
  </si>
  <si>
    <t>Average performance</t>
  </si>
  <si>
    <t>Average gap to target</t>
  </si>
  <si>
    <t>Current phase center (p-bar)</t>
  </si>
  <si>
    <t>Current phase LCL</t>
  </si>
  <si>
    <t>Analysis &amp; interpretation</t>
  </si>
  <si>
    <t>Methodology</t>
  </si>
  <si>
    <t>Tabular CUSUM on HSR hub data (34 days, 13-Jun to 16-Jul). Seed p-bar=90%, target=95%.</t>
  </si>
  <si>
    <t>Results</t>
  </si>
  <si>
    <t>3 shifts detected. Current center (p-bar)=92.0%, ~3 points below target. 8 of 34 days meet the 95% target. Average performance: 90.2%.</t>
  </si>
  <si>
    <t>HSR — Instant Availability % — CUSUM Control Chart &amp; Target Analysis</t>
  </si>
  <si>
    <t>Tabular CUSUM on HSR hub data. Seed p-bar=85%, target=90%.</t>
  </si>
  <si>
    <t>5 shifts detected. Current center=76.3%, ~14 points below target. 10 of 34 days meet target. Average performance: 77.2%.</t>
  </si>
  <si>
    <t>Central Hub — Arrival On-Time % — CUSUM Control Chart &amp; Target Analysis</t>
  </si>
  <si>
    <t>Tabular CUSUM on Central Hub data (29 days, 18-Jun to 16-Jul — launched later than HSR). Seed p-bar=90%, target=95%.</t>
  </si>
  <si>
    <t>3 shifts detected. Current center=79.9%, ~15 points below target. 5 of 29 days meet target. Average performance: 83.3%.</t>
  </si>
  <si>
    <t>Central Hub — Instant Availability % — CUSUM Control Chart &amp; Target Analysis</t>
  </si>
  <si>
    <t>Tabular CUSUM on Central Hub data. Seed p-bar=85%, target=90%.</t>
  </si>
  <si>
    <t>3 shifts detected. Current center=45.5%, a ~45-point gap to target — the weakest metric in the whole dataset. 5 of 29 days meet target. Average performance: 59.9%. Remains the top investigation priority.</t>
  </si>
  <si>
    <t>Combined (HSR+Central) — Arrival On-Time % — CUSUM Control Chart &amp; Target Analysis</t>
  </si>
  <si>
    <t>Data statistically pooled from both hubs by task volume: Combined_n = HSR_n + Central_n; Combined_OT% = weighted average (not a simple average of percentages). Seed p-bar=90%, target=95%.</t>
  </si>
  <si>
    <t>3 shifts detected. Current center=89.8%, ~5 points below target. Only 3 of 34 days meet target — fewer than HSR alone (8/34), because Central's weaker performance pulls the pooled figure down.</t>
  </si>
  <si>
    <t>Combined (HSR+Central) — Instant Availability % — CUSUM Control Chart &amp; Target Analysis</t>
  </si>
  <si>
    <t>Same task-weighted pooling, applied to Availability%. Seed p-bar=85%, target=90%.</t>
  </si>
  <si>
    <t>5 shifts detected. Current center=70.2%, ~20 points below target. Only 4 of 34 days meet target — between HSR (76.3%) and Central (45.5%) as expected, pulled down by Central.</t>
  </si>
  <si>
    <t>BLR City — Overall Arrival On-Time % — CUSUM Control Chart &amp; Target Analysis</t>
  </si>
  <si>
    <t>BLR City Arrival OT %</t>
  </si>
  <si>
    <t>New this update: city-wide aggregate Arrival OT% across ALL Bangalore hubs (not just HSR+Central). No per-day task count is available for this series, so the control limit uses a standard-deviation-based Individuals-chart approach (p-bar ± 3×SD) rather than the binomial p-chart formula used elsewhere. Seed p-bar=90%, target=95%.</t>
  </si>
  <si>
    <t>3 shifts detected. Current center=94.4%, right at the 95% target — far closer than HSR or Central individually. 16 of 34 days meet target (47%, vs. 24% for HSR and 17% for Central). This indicates the rest of BLR's hubs are performing meaningfully better than HSR and Central, which is worth understanding — what are the stronger hubs doing differently?</t>
  </si>
  <si>
    <t>CUSUM Control Charts — HSR vs Central Hub vs Combined vs BLR City</t>
  </si>
  <si>
    <t>Solid line = daily performance %; dashed orange = CUSUM center line; dashed red = LCL only (no UCL); dotted green = target. Updated through 16-Jul.</t>
  </si>
  <si>
    <t>HSR Hub</t>
  </si>
  <si>
    <t>Combined (HSR + Central, statistically pooled)</t>
  </si>
  <si>
    <t>BLR City (all-hub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</si>
</sst>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
    <numFmt numFmtId="166" formatCode="d\-mmm\-yy"/>
  </numFmts>
  <fonts count="13" x14ac:knownFonts="1">
    <font>
      <sz val="11"/>
      <color theme="1"/>
      <name val="Calibri"/>
      <family val="2"/>
      <charset val="1"/>
    </font>
    <font>
      <b/>
      <sz val="15"/>
      <color rgb="FF1E6B55"/>
      <name val="Arial"/>
      <family val="2"/>
    </font>
    <font>
      <i/>
      <sz val="9"/>
      <color rgb="FF595959"/>
      <name val="Arial"/>
      <family val="2"/>
    </font>
    <font>
      <b/>
      <sz val="10"/>
      <color rgb="FFFFFFFF"/>
      <name val="Arial"/>
      <family val="2"/>
    </font>
    <font>
      <b/>
      <sz val="10"/>
      <name val="Arial"/>
      <family val="2"/>
    </font>
    <font>
      <sz val="10"/>
      <name val="Arial"/>
      <family val="2"/>
    </font>
    <font>
      <sz val="10"/>
      <color rgb="FF262626"/>
      <name val="Arial"/>
      <family val="2"/>
    </font>
    <font>
      <b/>
      <sz val="11"/>
      <color theme="1"/>
      <name val="Calibri"/>
      <family val="2"/>
      <charset val="1"/>
    </font>
    <font>
      <b/>
      <sz val="10"/>
      <color rgb="FFFFFFFF"/>
      <name val="Arial"/>
      <family val="2"/>
      <charset val="1"/>
    </font>
    <font>
      <sz val="10"/>
      <name val="Arial"/>
      <family val="2"/>
      <charset val="1"/>
    </font>
    <font>
      <b/>
      <sz val="10"/>
      <name val="Arial"/>
      <family val="2"/>
      <charset val="1"/>
    </font>
    <font>
      <b/>
      <sz val="12"/>
      <color rgb="FF1E6B55"/>
      <name val="Arial"/>
      <family val="2"/>
    </font>
    <font>
      <b/>
      <sz val="14"/>
      <color rgb="FF1E6B55"/>
      <name val="Arial"/>
      <family val="2"/>
    </font>
  </fonts>
  <fills count="8">
    <fill>
      <patternFill patternType="none"/>
    </fill>
    <fill>
      <patternFill patternType="gray125"/>
    </fill>
    <fill>
      <patternFill patternType="solid">
        <fgColor rgb="FF1E6B55"/>
        <bgColor rgb="FF008080"/>
      </patternFill>
    </fill>
    <fill>
      <patternFill patternType="solid">
        <fgColor rgb="FFF8CBAD"/>
        <bgColor rgb="FFFFE699"/>
      </patternFill>
    </fill>
    <fill>
      <patternFill patternType="solid">
        <fgColor rgb="FFC6E0B4"/>
        <bgColor rgb="FFD9D9D9"/>
      </patternFill>
    </fill>
    <fill>
      <patternFill patternType="solid">
        <fgColor rgb="FFFFC000"/>
        <bgColor rgb="FFF7941D"/>
      </patternFill>
    </fill>
    <fill>
      <patternFill patternType="solid">
        <fgColor theme="0"/>
        <bgColor rgb="FFEFF6F2"/>
      </patternFill>
    </fill>
    <fill>
      <patternFill patternType="solid">
        <fgColor rgb="FFEFF6F2"/>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auto="1"/>
      </left>
      <right style="thin">
        <color auto="1"/>
      </right>
      <top style="thin">
        <color auto="1"/>
      </top>
      <bottom style="thin">
        <color auto="1"/>
      </bottom>
      <diagonal/>
    </border>
  </borders>
  <cellStyleXfs count="1">
    <xf numFmtId="0" fontId="0" fillId="0" borderId="0"/>
  </cellStyleXfs>
  <cellXfs count="69">
    <xf numFmtId="0" fontId="0" fillId="0" borderId="0" xfId="0"/>
    <xf numFmtId="0" fontId="4" fillId="0" borderId="0" xfId="0" applyFont="1"/>
    <xf numFmtId="0" fontId="11"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9"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1" fontId="5"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9" fontId="5" fillId="4" borderId="1"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64" fontId="8" fillId="2" borderId="2" xfId="0" applyNumberFormat="1" applyFont="1" applyFill="1" applyBorder="1" applyAlignment="1">
      <alignment horizontal="center" vertical="center" wrapText="1"/>
    </xf>
    <xf numFmtId="164" fontId="8" fillId="2" borderId="3" xfId="0" applyNumberFormat="1" applyFont="1" applyFill="1" applyBorder="1" applyAlignment="1">
      <alignment horizontal="center" vertical="center" wrapText="1"/>
    </xf>
    <xf numFmtId="0" fontId="8" fillId="2" borderId="0" xfId="0" applyFont="1" applyFill="1" applyAlignment="1">
      <alignment horizontal="center" vertical="center" wrapText="1"/>
    </xf>
    <xf numFmtId="165" fontId="9" fillId="0" borderId="1" xfId="0" applyNumberFormat="1" applyFont="1" applyBorder="1" applyAlignment="1">
      <alignment horizontal="center" vertical="center" wrapText="1"/>
    </xf>
    <xf numFmtId="0" fontId="10" fillId="6" borderId="1" xfId="0" applyFont="1" applyFill="1" applyBorder="1" applyAlignment="1">
      <alignment horizontal="center" vertical="center" wrapText="1"/>
    </xf>
    <xf numFmtId="164" fontId="10" fillId="6" borderId="1" xfId="0" applyNumberFormat="1" applyFont="1" applyFill="1" applyBorder="1" applyAlignment="1">
      <alignment horizontal="center" vertical="center" wrapText="1"/>
    </xf>
    <xf numFmtId="164" fontId="10" fillId="6" borderId="2" xfId="0" applyNumberFormat="1" applyFont="1" applyFill="1" applyBorder="1" applyAlignment="1">
      <alignment horizontal="center" vertical="center" wrapText="1"/>
    </xf>
    <xf numFmtId="10" fontId="0" fillId="0" borderId="3" xfId="0" applyNumberFormat="1" applyBorder="1" applyAlignment="1">
      <alignment vertical="center" wrapText="1"/>
    </xf>
    <xf numFmtId="0" fontId="0" fillId="6" borderId="0" xfId="0" applyFill="1" applyAlignment="1">
      <alignment horizontal="center" vertical="center" wrapText="1"/>
    </xf>
    <xf numFmtId="166" fontId="0" fillId="0" borderId="0" xfId="0" applyNumberFormat="1" applyAlignment="1">
      <alignment wrapText="1"/>
    </xf>
    <xf numFmtId="9" fontId="0" fillId="0" borderId="0" xfId="0" applyNumberFormat="1" applyAlignment="1">
      <alignment horizontal="center" vertical="center" wrapText="1"/>
    </xf>
    <xf numFmtId="10" fontId="0" fillId="0" borderId="0" xfId="0" applyNumberFormat="1" applyAlignment="1">
      <alignment vertical="center" wrapText="1"/>
    </xf>
    <xf numFmtId="164" fontId="0" fillId="0" borderId="0" xfId="0" applyNumberFormat="1" applyAlignment="1">
      <alignment wrapText="1"/>
    </xf>
    <xf numFmtId="9" fontId="0" fillId="0" borderId="0" xfId="0" applyNumberFormat="1" applyAlignment="1">
      <alignment vertical="center" wrapText="1"/>
    </xf>
    <xf numFmtId="0" fontId="9"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2" xfId="0" applyFont="1" applyBorder="1" applyAlignment="1">
      <alignment horizontal="center" vertical="center" wrapText="1"/>
    </xf>
    <xf numFmtId="166" fontId="0" fillId="0" borderId="0" xfId="0" applyNumberFormat="1" applyAlignment="1">
      <alignment horizontal="center" vertical="center" wrapText="1"/>
    </xf>
    <xf numFmtId="164" fontId="0" fillId="0" borderId="0" xfId="0" applyNumberFormat="1" applyAlignment="1">
      <alignment horizontal="center" vertical="center" wrapText="1"/>
    </xf>
    <xf numFmtId="10" fontId="0" fillId="0" borderId="0" xfId="0" applyNumberFormat="1" applyAlignment="1">
      <alignment horizontal="center" vertical="center" wrapText="1"/>
    </xf>
    <xf numFmtId="166" fontId="0" fillId="0" borderId="0" xfId="0" applyNumberFormat="1" applyAlignment="1">
      <alignment vertical="center" wrapText="1"/>
    </xf>
    <xf numFmtId="165" fontId="5"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0" fillId="0" borderId="1" xfId="0" applyBorder="1" applyAlignment="1">
      <alignment horizontal="center" vertical="center"/>
    </xf>
    <xf numFmtId="0" fontId="5" fillId="0" borderId="1" xfId="0" applyFont="1" applyBorder="1"/>
    <xf numFmtId="9" fontId="4" fillId="0" borderId="1" xfId="0" applyNumberFormat="1" applyFont="1" applyBorder="1"/>
    <xf numFmtId="165"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164" fontId="5" fillId="7" borderId="1" xfId="0" applyNumberFormat="1" applyFont="1" applyFill="1" applyBorder="1" applyAlignment="1">
      <alignment horizontal="center" vertical="center"/>
    </xf>
    <xf numFmtId="10" fontId="5" fillId="7" borderId="1" xfId="0" applyNumberFormat="1" applyFont="1" applyFill="1" applyBorder="1" applyAlignment="1">
      <alignment horizontal="center" vertical="center"/>
    </xf>
    <xf numFmtId="9" fontId="5" fillId="7" borderId="1" xfId="0" applyNumberFormat="1" applyFont="1" applyFill="1" applyBorder="1" applyAlignment="1">
      <alignment horizontal="center" vertical="center"/>
    </xf>
    <xf numFmtId="2" fontId="5" fillId="7" borderId="1" xfId="0" applyNumberFormat="1" applyFont="1" applyFill="1" applyBorder="1" applyAlignment="1">
      <alignment horizontal="center" vertical="center"/>
    </xf>
    <xf numFmtId="1" fontId="4" fillId="0" borderId="1" xfId="0" applyNumberFormat="1" applyFont="1" applyBorder="1"/>
    <xf numFmtId="0" fontId="4" fillId="0" borderId="1" xfId="0" applyFont="1" applyBorder="1"/>
    <xf numFmtId="164" fontId="4" fillId="0" borderId="1" xfId="0" applyNumberFormat="1" applyFont="1" applyBorder="1"/>
    <xf numFmtId="1" fontId="10" fillId="6" borderId="1" xfId="0" applyNumberFormat="1" applyFont="1" applyFill="1" applyBorder="1" applyAlignment="1">
      <alignment horizontal="center" vertical="center" wrapText="1"/>
    </xf>
    <xf numFmtId="1" fontId="10" fillId="6" borderId="2" xfId="0" applyNumberFormat="1" applyFont="1" applyFill="1" applyBorder="1" applyAlignment="1">
      <alignment horizontal="center" vertical="center" wrapText="1"/>
    </xf>
    <xf numFmtId="0" fontId="7" fillId="5" borderId="0" xfId="0" applyFont="1" applyFill="1" applyAlignment="1">
      <alignment horizontal="center" vertical="center" wrapText="1"/>
    </xf>
    <xf numFmtId="0" fontId="1" fillId="0" borderId="0" xfId="0" applyFont="1"/>
    <xf numFmtId="0" fontId="2" fillId="0" borderId="0" xfId="0" applyFont="1"/>
    <xf numFmtId="0" fontId="6" fillId="0" borderId="1" xfId="0" applyFont="1" applyBorder="1" applyAlignment="1">
      <alignment vertical="top" wrapText="1"/>
    </xf>
    <xf numFmtId="0" fontId="6" fillId="0" borderId="1" xfId="0" applyFont="1" applyBorder="1" applyAlignment="1">
      <alignment horizontal="left" vertical="top" wrapText="1"/>
    </xf>
    <xf numFmtId="0" fontId="11" fillId="0" borderId="0" xfId="0" applyFont="1"/>
    <xf numFmtId="0" fontId="4" fillId="0" borderId="0" xfId="0" applyFont="1"/>
    <xf numFmtId="0" fontId="12" fillId="0" borderId="0" xfId="0" applyFont="1"/>
  </cellXfs>
  <cellStyles count="1">
    <cellStyle name="Normal" xfId="0" builtinId="0"/>
  </cellStyles>
  <dxfs count="21">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
      <font>
        <sz val="10"/>
        <color rgb="FF1E6B55"/>
        <name val="Arial"/>
        <charset val="1"/>
      </font>
    </dxf>
    <dxf>
      <font>
        <b/>
        <sz val="10"/>
        <color rgb="FFC00000"/>
        <name val="Arial"/>
        <charset val="1"/>
      </font>
      <fill>
        <patternFill>
          <bgColor rgb="FFF8CBAD"/>
        </patternFill>
      </fill>
    </dxf>
    <dxf>
      <font>
        <b/>
        <sz val="10"/>
        <color rgb="FF7F6000"/>
        <name val="Arial"/>
        <charset val="1"/>
      </font>
      <fill>
        <patternFill>
          <bgColor rgb="FFFFE69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E6B55"/>
      <rgbColor rgb="FFB7B7B7"/>
      <rgbColor rgb="FF808080"/>
      <rgbColor rgb="FF9999FF"/>
      <rgbColor rgb="FF993366"/>
      <rgbColor rgb="FFEFF6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000"/>
      <rgbColor rgb="FFF7941D"/>
      <rgbColor rgb="FFFF6600"/>
      <rgbColor rgb="FF595959"/>
      <rgbColor rgb="FFB3B3B3"/>
      <rgbColor rgb="FF003366"/>
      <rgbColor rgb="FF17A578"/>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HSR — Arrival On-Time % vs Target (95%)</a:t>
            </a:r>
          </a:p>
        </c:rich>
      </c:tx>
      <c:overlay val="0"/>
      <c:spPr>
        <a:noFill/>
        <a:ln w="0">
          <a:noFill/>
        </a:ln>
      </c:spPr>
    </c:title>
    <c:autoTitleDeleted val="0"/>
    <c:plotArea>
      <c:layout/>
      <c:lineChart>
        <c:grouping val="standard"/>
        <c:varyColors val="0"/>
        <c:ser>
          <c:idx val="0"/>
          <c:order val="0"/>
          <c:tx>
            <c:strRef>
              <c:f>'HSR Arrival OT'!$C$4</c:f>
              <c:strCache>
                <c:ptCount val="1"/>
                <c:pt idx="0">
                  <c:v>Arrival OT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Arrival OT'!$C$5:$C$38</c:f>
              <c:numCache>
                <c:formatCode>0.0%</c:formatCode>
                <c:ptCount val="34"/>
                <c:pt idx="0">
                  <c:v>0.939393939393939</c:v>
                </c:pt>
                <c:pt idx="1">
                  <c:v>0.9375</c:v>
                </c:pt>
                <c:pt idx="2">
                  <c:v>0.90804597701149403</c:v>
                </c:pt>
                <c:pt idx="3">
                  <c:v>0.93548387096774099</c:v>
                </c:pt>
                <c:pt idx="4">
                  <c:v>0.87951807228915602</c:v>
                </c:pt>
                <c:pt idx="5">
                  <c:v>0.95294117647058796</c:v>
                </c:pt>
                <c:pt idx="6">
                  <c:v>0.87234042553191404</c:v>
                </c:pt>
                <c:pt idx="7">
                  <c:v>0.62280701754385903</c:v>
                </c:pt>
                <c:pt idx="8">
                  <c:v>0.84745762711864403</c:v>
                </c:pt>
                <c:pt idx="9">
                  <c:v>0.86813186813186805</c:v>
                </c:pt>
                <c:pt idx="10">
                  <c:v>0.75961538461538403</c:v>
                </c:pt>
                <c:pt idx="11">
                  <c:v>0.78651685393258397</c:v>
                </c:pt>
                <c:pt idx="12">
                  <c:v>0.956989247311828</c:v>
                </c:pt>
                <c:pt idx="13">
                  <c:v>0.90291262135922301</c:v>
                </c:pt>
                <c:pt idx="14">
                  <c:v>0.842592592592592</c:v>
                </c:pt>
                <c:pt idx="15">
                  <c:v>0.95555555555555505</c:v>
                </c:pt>
                <c:pt idx="16">
                  <c:v>0.96629213483146004</c:v>
                </c:pt>
                <c:pt idx="17">
                  <c:v>0.85897435897435803</c:v>
                </c:pt>
                <c:pt idx="18">
                  <c:v>0.93</c:v>
                </c:pt>
                <c:pt idx="19">
                  <c:v>0.94117647058823495</c:v>
                </c:pt>
                <c:pt idx="20">
                  <c:v>0.90654205607476601</c:v>
                </c:pt>
                <c:pt idx="21">
                  <c:v>0.90654205607476601</c:v>
                </c:pt>
                <c:pt idx="22">
                  <c:v>0.90322580645161199</c:v>
                </c:pt>
                <c:pt idx="23">
                  <c:v>0.93421052631578905</c:v>
                </c:pt>
                <c:pt idx="24">
                  <c:v>0.89690721649484495</c:v>
                </c:pt>
                <c:pt idx="25">
                  <c:v>0.90697674418604601</c:v>
                </c:pt>
                <c:pt idx="26">
                  <c:v>0.97826086956521696</c:v>
                </c:pt>
                <c:pt idx="27">
                  <c:v>0.95412844036697197</c:v>
                </c:pt>
                <c:pt idx="28">
                  <c:v>0.94392523364485903</c:v>
                </c:pt>
                <c:pt idx="29">
                  <c:v>0.96330275229357798</c:v>
                </c:pt>
                <c:pt idx="30">
                  <c:v>0.90178571428571397</c:v>
                </c:pt>
                <c:pt idx="31">
                  <c:v>0.95762711864406702</c:v>
                </c:pt>
                <c:pt idx="32">
                  <c:v>0.92630000000000001</c:v>
                </c:pt>
                <c:pt idx="33">
                  <c:v>0.92920000000000003</c:v>
                </c:pt>
              </c:numCache>
            </c:numRef>
          </c:val>
          <c:smooth val="0"/>
          <c:extLst>
            <c:ext xmlns:c16="http://schemas.microsoft.com/office/drawing/2014/chart" uri="{C3380CC4-5D6E-409C-BE32-E72D297353CC}">
              <c16:uniqueId val="{00000000-8CB6-4876-BF49-A30CDE020B12}"/>
            </c:ext>
          </c:extLst>
        </c:ser>
        <c:ser>
          <c:idx val="1"/>
          <c:order val="1"/>
          <c:tx>
            <c:strRef>
              <c:f>'HSR Arrival OT'!$D$4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Arrival OT'!$D$5:$D$38</c:f>
              <c:numCache>
                <c:formatCode>0.0%</c:formatCode>
                <c:ptCount val="34"/>
                <c:pt idx="0">
                  <c:v>0.9</c:v>
                </c:pt>
                <c:pt idx="1">
                  <c:v>0.9</c:v>
                </c:pt>
                <c:pt idx="2">
                  <c:v>0.9</c:v>
                </c:pt>
                <c:pt idx="3">
                  <c:v>0.9</c:v>
                </c:pt>
                <c:pt idx="4">
                  <c:v>0.9</c:v>
                </c:pt>
                <c:pt idx="5">
                  <c:v>0.9</c:v>
                </c:pt>
                <c:pt idx="6">
                  <c:v>0.9</c:v>
                </c:pt>
                <c:pt idx="7">
                  <c:v>0.9</c:v>
                </c:pt>
                <c:pt idx="8">
                  <c:v>0.8810038099010864</c:v>
                </c:pt>
                <c:pt idx="9">
                  <c:v>0.8810038099010864</c:v>
                </c:pt>
                <c:pt idx="10">
                  <c:v>0.8810038099010864</c:v>
                </c:pt>
                <c:pt idx="11">
                  <c:v>0.8810038099010864</c:v>
                </c:pt>
                <c:pt idx="12">
                  <c:v>0.8810038099010864</c:v>
                </c:pt>
                <c:pt idx="13">
                  <c:v>0.8810038099010864</c:v>
                </c:pt>
                <c:pt idx="14">
                  <c:v>0.8810038099010864</c:v>
                </c:pt>
                <c:pt idx="15">
                  <c:v>0.85203088500887481</c:v>
                </c:pt>
                <c:pt idx="16">
                  <c:v>0.85203088500887481</c:v>
                </c:pt>
                <c:pt idx="17">
                  <c:v>0.85203088500887481</c:v>
                </c:pt>
                <c:pt idx="18">
                  <c:v>0.85203088500887481</c:v>
                </c:pt>
                <c:pt idx="19">
                  <c:v>0.85203088500887481</c:v>
                </c:pt>
                <c:pt idx="20">
                  <c:v>0.85203088500887481</c:v>
                </c:pt>
                <c:pt idx="21">
                  <c:v>0.85203088500887481</c:v>
                </c:pt>
                <c:pt idx="22">
                  <c:v>0.85203088500887481</c:v>
                </c:pt>
                <c:pt idx="23">
                  <c:v>0.85203088500887481</c:v>
                </c:pt>
                <c:pt idx="24">
                  <c:v>0.85203088500887481</c:v>
                </c:pt>
                <c:pt idx="25">
                  <c:v>0.91994261813613876</c:v>
                </c:pt>
                <c:pt idx="26">
                  <c:v>0.91994261813613876</c:v>
                </c:pt>
                <c:pt idx="27">
                  <c:v>0.91994261813613876</c:v>
                </c:pt>
                <c:pt idx="28">
                  <c:v>0.91994261813613876</c:v>
                </c:pt>
                <c:pt idx="29">
                  <c:v>0.91994261813613876</c:v>
                </c:pt>
                <c:pt idx="30">
                  <c:v>0.91994261813613876</c:v>
                </c:pt>
                <c:pt idx="31">
                  <c:v>0.91994261813613876</c:v>
                </c:pt>
                <c:pt idx="32">
                  <c:v>0.91994261813613876</c:v>
                </c:pt>
                <c:pt idx="33">
                  <c:v>0.91994261813613876</c:v>
                </c:pt>
              </c:numCache>
            </c:numRef>
          </c:val>
          <c:smooth val="0"/>
          <c:extLst>
            <c:ext xmlns:c16="http://schemas.microsoft.com/office/drawing/2014/chart" uri="{C3380CC4-5D6E-409C-BE32-E72D297353CC}">
              <c16:uniqueId val="{00000001-8CB6-4876-BF49-A30CDE020B12}"/>
            </c:ext>
          </c:extLst>
        </c:ser>
        <c:ser>
          <c:idx val="2"/>
          <c:order val="2"/>
          <c:tx>
            <c:strRef>
              <c:f>'HSR Arrival OT'!$F$4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Arrival OT'!$F$5:$F$38</c:f>
              <c:numCache>
                <c:formatCode>0.0%</c:formatCode>
                <c:ptCount val="34"/>
                <c:pt idx="0">
                  <c:v>0.81950155281000758</c:v>
                </c:pt>
                <c:pt idx="1">
                  <c:v>0.81495799357292387</c:v>
                </c:pt>
                <c:pt idx="2">
                  <c:v>0.81044665288110096</c:v>
                </c:pt>
                <c:pt idx="3">
                  <c:v>0.81570727695764755</c:v>
                </c:pt>
                <c:pt idx="4">
                  <c:v>0.81174773918781717</c:v>
                </c:pt>
                <c:pt idx="5">
                  <c:v>0.80766194831233618</c:v>
                </c:pt>
                <c:pt idx="6">
                  <c:v>0.81299371598589032</c:v>
                </c:pt>
                <c:pt idx="7">
                  <c:v>0.82106477826236746</c:v>
                </c:pt>
                <c:pt idx="8">
                  <c:v>0.79677690228437215</c:v>
                </c:pt>
                <c:pt idx="9">
                  <c:v>0.78386860147655524</c:v>
                </c:pt>
                <c:pt idx="10">
                  <c:v>0.79446888844454511</c:v>
                </c:pt>
                <c:pt idx="11">
                  <c:v>0.78620955291371541</c:v>
                </c:pt>
                <c:pt idx="12">
                  <c:v>0.78665775522121306</c:v>
                </c:pt>
                <c:pt idx="13">
                  <c:v>0.79514760418989305</c:v>
                </c:pt>
                <c:pt idx="14">
                  <c:v>0.79306172428398181</c:v>
                </c:pt>
                <c:pt idx="15">
                  <c:v>0.74655956635393472</c:v>
                </c:pt>
                <c:pt idx="16">
                  <c:v>0.74905333079007375</c:v>
                </c:pt>
                <c:pt idx="17">
                  <c:v>0.7415739501808607</c:v>
                </c:pt>
                <c:pt idx="18">
                  <c:v>0.75397053071247366</c:v>
                </c:pt>
                <c:pt idx="19">
                  <c:v>0.73141981777851506</c:v>
                </c:pt>
                <c:pt idx="20">
                  <c:v>0.75637237342365249</c:v>
                </c:pt>
                <c:pt idx="21">
                  <c:v>0.75824454098389316</c:v>
                </c:pt>
                <c:pt idx="22">
                  <c:v>0.76200436891505086</c:v>
                </c:pt>
                <c:pt idx="23">
                  <c:v>0.74216305803371929</c:v>
                </c:pt>
                <c:pt idx="24">
                  <c:v>0.75269971716948247</c:v>
                </c:pt>
                <c:pt idx="25">
                  <c:v>0.84160137874452734</c:v>
                </c:pt>
                <c:pt idx="26">
                  <c:v>0.84049009998510804</c:v>
                </c:pt>
                <c:pt idx="27">
                  <c:v>0.85038542761137392</c:v>
                </c:pt>
                <c:pt idx="28">
                  <c:v>0.85013017100852251</c:v>
                </c:pt>
                <c:pt idx="29">
                  <c:v>0.85038542761137392</c:v>
                </c:pt>
                <c:pt idx="30">
                  <c:v>0.84881034819916201</c:v>
                </c:pt>
                <c:pt idx="31">
                  <c:v>0.85113471902270188</c:v>
                </c:pt>
                <c:pt idx="32">
                  <c:v>0.84402310828428906</c:v>
                </c:pt>
                <c:pt idx="33">
                  <c:v>0.85013017100852251</c:v>
                </c:pt>
              </c:numCache>
            </c:numRef>
          </c:val>
          <c:smooth val="0"/>
          <c:extLst>
            <c:ext xmlns:c16="http://schemas.microsoft.com/office/drawing/2014/chart" uri="{C3380CC4-5D6E-409C-BE32-E72D297353CC}">
              <c16:uniqueId val="{00000002-8CB6-4876-BF49-A30CDE020B12}"/>
            </c:ext>
          </c:extLst>
        </c:ser>
        <c:ser>
          <c:idx val="3"/>
          <c:order val="3"/>
          <c:tx>
            <c:strRef>
              <c:f>'HSR Arrival OT'!$G$4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Arrival OT'!$G$5:$G$38</c:f>
              <c:numCache>
                <c:formatCode>0%</c:formatCode>
                <c:ptCount val="34"/>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numCache>
            </c:numRef>
          </c:val>
          <c:smooth val="0"/>
          <c:extLst>
            <c:ext xmlns:c16="http://schemas.microsoft.com/office/drawing/2014/chart" uri="{C3380CC4-5D6E-409C-BE32-E72D297353CC}">
              <c16:uniqueId val="{00000003-8CB6-4876-BF49-A30CDE020B12}"/>
            </c:ext>
          </c:extLst>
        </c:ser>
        <c:dLbls>
          <c:showLegendKey val="0"/>
          <c:showVal val="0"/>
          <c:showCatName val="0"/>
          <c:showSerName val="0"/>
          <c:showPercent val="0"/>
          <c:showBubbleSize val="0"/>
        </c:dLbls>
        <c:hiLowLines>
          <c:spPr>
            <a:ln w="0">
              <a:noFill/>
            </a:ln>
          </c:spPr>
        </c:hiLowLines>
        <c:marker val="1"/>
        <c:smooth val="0"/>
        <c:axId val="32553237"/>
        <c:axId val="39583740"/>
      </c:lineChart>
      <c:dateAx>
        <c:axId val="3255323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583740"/>
        <c:crosses val="autoZero"/>
        <c:auto val="1"/>
        <c:lblOffset val="100"/>
        <c:baseTimeUnit val="days"/>
      </c:dateAx>
      <c:valAx>
        <c:axId val="39583740"/>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On-time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25532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HSR — Instant Availability % vs Target (90%)</a:t>
            </a:r>
          </a:p>
        </c:rich>
      </c:tx>
      <c:overlay val="0"/>
      <c:spPr>
        <a:noFill/>
        <a:ln w="0">
          <a:noFill/>
        </a:ln>
      </c:spPr>
    </c:title>
    <c:autoTitleDeleted val="0"/>
    <c:plotArea>
      <c:layout/>
      <c:lineChart>
        <c:grouping val="standard"/>
        <c:varyColors val="0"/>
        <c:ser>
          <c:idx val="0"/>
          <c:order val="0"/>
          <c:tx>
            <c:strRef>
              <c:f>'HSR Availability'!$C$4</c:f>
              <c:strCache>
                <c:ptCount val="1"/>
                <c:pt idx="0">
                  <c:v>Availability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Availability'!$C$5:$C$38</c:f>
              <c:numCache>
                <c:formatCode>0.0%</c:formatCode>
                <c:ptCount val="34"/>
                <c:pt idx="0">
                  <c:v>0.88239999999999996</c:v>
                </c:pt>
                <c:pt idx="1">
                  <c:v>0.97829999999999995</c:v>
                </c:pt>
                <c:pt idx="2">
                  <c:v>0.44</c:v>
                </c:pt>
                <c:pt idx="3">
                  <c:v>0.88519999999999999</c:v>
                </c:pt>
                <c:pt idx="4">
                  <c:v>0.55840000000000001</c:v>
                </c:pt>
                <c:pt idx="5">
                  <c:v>0.54900000000000004</c:v>
                </c:pt>
                <c:pt idx="6">
                  <c:v>0.83160000000000001</c:v>
                </c:pt>
                <c:pt idx="7">
                  <c:v>0.79169999999999996</c:v>
                </c:pt>
                <c:pt idx="8">
                  <c:v>0.71260000000000001</c:v>
                </c:pt>
                <c:pt idx="9">
                  <c:v>0.81710000000000005</c:v>
                </c:pt>
                <c:pt idx="10">
                  <c:v>0.34039999999999998</c:v>
                </c:pt>
                <c:pt idx="11">
                  <c:v>0.44319999999999998</c:v>
                </c:pt>
                <c:pt idx="12">
                  <c:v>0.61539999999999995</c:v>
                </c:pt>
                <c:pt idx="13">
                  <c:v>0.52500000000000002</c:v>
                </c:pt>
                <c:pt idx="14">
                  <c:v>0.84950000000000003</c:v>
                </c:pt>
                <c:pt idx="15">
                  <c:v>0.96550000000000002</c:v>
                </c:pt>
                <c:pt idx="16">
                  <c:v>0.82179999999999997</c:v>
                </c:pt>
                <c:pt idx="17">
                  <c:v>0.93059999999999998</c:v>
                </c:pt>
                <c:pt idx="18">
                  <c:v>0.7722</c:v>
                </c:pt>
                <c:pt idx="19">
                  <c:v>0.92779999999999996</c:v>
                </c:pt>
                <c:pt idx="20">
                  <c:v>0.79820000000000002</c:v>
                </c:pt>
                <c:pt idx="21">
                  <c:v>0.56579999999999997</c:v>
                </c:pt>
                <c:pt idx="22">
                  <c:v>0.5837</c:v>
                </c:pt>
                <c:pt idx="23">
                  <c:v>0.97989999999999999</c:v>
                </c:pt>
                <c:pt idx="24">
                  <c:v>0.88109999999999999</c:v>
                </c:pt>
                <c:pt idx="25">
                  <c:v>0.83160000000000001</c:v>
                </c:pt>
                <c:pt idx="26">
                  <c:v>0.94469999999999998</c:v>
                </c:pt>
                <c:pt idx="27">
                  <c:v>0.99239999999999995</c:v>
                </c:pt>
                <c:pt idx="28">
                  <c:v>1</c:v>
                </c:pt>
                <c:pt idx="29">
                  <c:v>0.82609999999999995</c:v>
                </c:pt>
                <c:pt idx="30">
                  <c:v>0.57999999999999996</c:v>
                </c:pt>
                <c:pt idx="31">
                  <c:v>0.99</c:v>
                </c:pt>
                <c:pt idx="32">
                  <c:v>0.95020000000000004</c:v>
                </c:pt>
                <c:pt idx="33">
                  <c:v>0.69699999999999995</c:v>
                </c:pt>
              </c:numCache>
            </c:numRef>
          </c:val>
          <c:smooth val="0"/>
          <c:extLst>
            <c:ext xmlns:c16="http://schemas.microsoft.com/office/drawing/2014/chart" uri="{C3380CC4-5D6E-409C-BE32-E72D297353CC}">
              <c16:uniqueId val="{00000000-CD2D-4516-B68E-0CFD07065108}"/>
            </c:ext>
          </c:extLst>
        </c:ser>
        <c:ser>
          <c:idx val="1"/>
          <c:order val="1"/>
          <c:tx>
            <c:strRef>
              <c:f>'HSR Availability'!$D$4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Availability'!$D$5:$D$38</c:f>
              <c:numCache>
                <c:formatCode>0.0%</c:formatCode>
                <c:ptCount val="34"/>
                <c:pt idx="0">
                  <c:v>0.85</c:v>
                </c:pt>
                <c:pt idx="1">
                  <c:v>0.85</c:v>
                </c:pt>
                <c:pt idx="2">
                  <c:v>0.85</c:v>
                </c:pt>
                <c:pt idx="3">
                  <c:v>0.76690000000000003</c:v>
                </c:pt>
                <c:pt idx="4">
                  <c:v>0.76690000000000003</c:v>
                </c:pt>
                <c:pt idx="5">
                  <c:v>0.76690000000000003</c:v>
                </c:pt>
                <c:pt idx="6">
                  <c:v>0.76690000000000003</c:v>
                </c:pt>
                <c:pt idx="7">
                  <c:v>0.76690000000000003</c:v>
                </c:pt>
                <c:pt idx="8">
                  <c:v>0.76690000000000003</c:v>
                </c:pt>
                <c:pt idx="9">
                  <c:v>0.76690000000000003</c:v>
                </c:pt>
                <c:pt idx="10">
                  <c:v>0.73508571428571423</c:v>
                </c:pt>
                <c:pt idx="11">
                  <c:v>0.73508571428571423</c:v>
                </c:pt>
                <c:pt idx="12">
                  <c:v>0.73508571428571423</c:v>
                </c:pt>
                <c:pt idx="13">
                  <c:v>0.62006666666666665</c:v>
                </c:pt>
                <c:pt idx="14">
                  <c:v>0.62006666666666665</c:v>
                </c:pt>
                <c:pt idx="15">
                  <c:v>0.62006666666666665</c:v>
                </c:pt>
                <c:pt idx="16">
                  <c:v>0.62006666666666665</c:v>
                </c:pt>
                <c:pt idx="17">
                  <c:v>0.62006666666666665</c:v>
                </c:pt>
                <c:pt idx="18">
                  <c:v>0.62006666666666665</c:v>
                </c:pt>
                <c:pt idx="19">
                  <c:v>0.62006666666666665</c:v>
                </c:pt>
                <c:pt idx="20">
                  <c:v>0.82748571428571416</c:v>
                </c:pt>
                <c:pt idx="21">
                  <c:v>0.82748571428571416</c:v>
                </c:pt>
                <c:pt idx="22">
                  <c:v>0.82748571428571416</c:v>
                </c:pt>
                <c:pt idx="23">
                  <c:v>0.7630499999999999</c:v>
                </c:pt>
                <c:pt idx="24">
                  <c:v>0.7630499999999999</c:v>
                </c:pt>
                <c:pt idx="25">
                  <c:v>0.7630499999999999</c:v>
                </c:pt>
                <c:pt idx="26">
                  <c:v>0.7630499999999999</c:v>
                </c:pt>
                <c:pt idx="27">
                  <c:v>0.7630499999999999</c:v>
                </c:pt>
                <c:pt idx="28">
                  <c:v>0.7630499999999999</c:v>
                </c:pt>
                <c:pt idx="29">
                  <c:v>0.7630499999999999</c:v>
                </c:pt>
                <c:pt idx="30">
                  <c:v>0.7630499999999999</c:v>
                </c:pt>
                <c:pt idx="31">
                  <c:v>0.7630499999999999</c:v>
                </c:pt>
                <c:pt idx="32">
                  <c:v>0.7630499999999999</c:v>
                </c:pt>
                <c:pt idx="33">
                  <c:v>0.7630499999999999</c:v>
                </c:pt>
              </c:numCache>
            </c:numRef>
          </c:val>
          <c:smooth val="0"/>
          <c:extLst>
            <c:ext xmlns:c16="http://schemas.microsoft.com/office/drawing/2014/chart" uri="{C3380CC4-5D6E-409C-BE32-E72D297353CC}">
              <c16:uniqueId val="{00000001-CD2D-4516-B68E-0CFD07065108}"/>
            </c:ext>
          </c:extLst>
        </c:ser>
        <c:ser>
          <c:idx val="2"/>
          <c:order val="2"/>
          <c:tx>
            <c:strRef>
              <c:f>'HSR Availability'!$F$4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Availability'!$F$5:$F$38</c:f>
              <c:numCache>
                <c:formatCode>0.0%</c:formatCode>
                <c:ptCount val="34"/>
                <c:pt idx="0">
                  <c:v>0.75418768346397214</c:v>
                </c:pt>
                <c:pt idx="1">
                  <c:v>0.7487797662802258</c:v>
                </c:pt>
                <c:pt idx="2">
                  <c:v>0.74341019683565479</c:v>
                </c:pt>
                <c:pt idx="3">
                  <c:v>0.64810194379580643</c:v>
                </c:pt>
                <c:pt idx="4">
                  <c:v>0.64252156421444462</c:v>
                </c:pt>
                <c:pt idx="5">
                  <c:v>0.63676324965839326</c:v>
                </c:pt>
                <c:pt idx="6">
                  <c:v>0.64427758319620454</c:v>
                </c:pt>
                <c:pt idx="7">
                  <c:v>0.65565254505936221</c:v>
                </c:pt>
                <c:pt idx="8">
                  <c:v>0.65691437175224832</c:v>
                </c:pt>
                <c:pt idx="9">
                  <c:v>0.64005838577186114</c:v>
                </c:pt>
                <c:pt idx="10">
                  <c:v>0.61714665407155844</c:v>
                </c:pt>
                <c:pt idx="11">
                  <c:v>0.60588994690520792</c:v>
                </c:pt>
                <c:pt idx="12">
                  <c:v>0.60650080501939285</c:v>
                </c:pt>
                <c:pt idx="13">
                  <c:v>0.49136352106602488</c:v>
                </c:pt>
                <c:pt idx="14">
                  <c:v>0.48823667306462343</c:v>
                </c:pt>
                <c:pt idx="15">
                  <c:v>0.47589030543759797</c:v>
                </c:pt>
                <c:pt idx="16">
                  <c:v>0.47929921211241877</c:v>
                </c:pt>
                <c:pt idx="17">
                  <c:v>0.46907510669460828</c:v>
                </c:pt>
                <c:pt idx="18">
                  <c:v>0.4860208877422349</c:v>
                </c:pt>
                <c:pt idx="19">
                  <c:v>0.45519468991516193</c:v>
                </c:pt>
                <c:pt idx="20">
                  <c:v>0.72569616373952595</c:v>
                </c:pt>
                <c:pt idx="21">
                  <c:v>0.72768832409563067</c:v>
                </c:pt>
                <c:pt idx="22">
                  <c:v>0.73168913059890339</c:v>
                </c:pt>
                <c:pt idx="23">
                  <c:v>0.63147839189813526</c:v>
                </c:pt>
                <c:pt idx="24">
                  <c:v>0.64409650972827193</c:v>
                </c:pt>
                <c:pt idx="25">
                  <c:v>0.64030205449784494</c:v>
                </c:pt>
                <c:pt idx="26">
                  <c:v>0.63856086191960348</c:v>
                </c:pt>
                <c:pt idx="27">
                  <c:v>0.65406522648707177</c:v>
                </c:pt>
                <c:pt idx="28">
                  <c:v>0.65366528102004584</c:v>
                </c:pt>
                <c:pt idx="29">
                  <c:v>0.65406522648707177</c:v>
                </c:pt>
                <c:pt idx="30">
                  <c:v>0.65159733392686747</c:v>
                </c:pt>
                <c:pt idx="31">
                  <c:v>0.65523924392714783</c:v>
                </c:pt>
                <c:pt idx="32">
                  <c:v>0.64409650972827193</c:v>
                </c:pt>
                <c:pt idx="33">
                  <c:v>0.65366528102004584</c:v>
                </c:pt>
              </c:numCache>
            </c:numRef>
          </c:val>
          <c:smooth val="0"/>
          <c:extLst>
            <c:ext xmlns:c16="http://schemas.microsoft.com/office/drawing/2014/chart" uri="{C3380CC4-5D6E-409C-BE32-E72D297353CC}">
              <c16:uniqueId val="{00000002-CD2D-4516-B68E-0CFD07065108}"/>
            </c:ext>
          </c:extLst>
        </c:ser>
        <c:ser>
          <c:idx val="3"/>
          <c:order val="3"/>
          <c:tx>
            <c:strRef>
              <c:f>'HSR Availability'!$G$4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'HSR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'HSR Availability'!$G$5:$G$38</c:f>
              <c:numCache>
                <c:formatCode>0%</c:formatCode>
                <c:ptCount val="3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pt idx="33">
                  <c:v>0.9</c:v>
                </c:pt>
              </c:numCache>
            </c:numRef>
          </c:val>
          <c:smooth val="0"/>
          <c:extLst>
            <c:ext xmlns:c16="http://schemas.microsoft.com/office/drawing/2014/chart" uri="{C3380CC4-5D6E-409C-BE32-E72D297353CC}">
              <c16:uniqueId val="{00000003-CD2D-4516-B68E-0CFD07065108}"/>
            </c:ext>
          </c:extLst>
        </c:ser>
        <c:dLbls>
          <c:showLegendKey val="0"/>
          <c:showVal val="0"/>
          <c:showCatName val="0"/>
          <c:showSerName val="0"/>
          <c:showPercent val="0"/>
          <c:showBubbleSize val="0"/>
        </c:dLbls>
        <c:hiLowLines>
          <c:spPr>
            <a:ln w="0">
              <a:noFill/>
            </a:ln>
          </c:spPr>
        </c:hiLowLines>
        <c:marker val="1"/>
        <c:smooth val="0"/>
        <c:axId val="77684102"/>
        <c:axId val="91397890"/>
      </c:lineChart>
      <c:dateAx>
        <c:axId val="7768410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1397890"/>
        <c:crosses val="autoZero"/>
        <c:auto val="1"/>
        <c:lblOffset val="100"/>
        <c:baseTimeUnit val="days"/>
      </c:dateAx>
      <c:valAx>
        <c:axId val="91397890"/>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Availability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768410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Central Hub — Arrival On-Time % vs Target (95%)</a:t>
            </a:r>
          </a:p>
        </c:rich>
      </c:tx>
      <c:overlay val="0"/>
      <c:spPr>
        <a:noFill/>
        <a:ln w="0">
          <a:noFill/>
        </a:ln>
      </c:spPr>
    </c:title>
    <c:autoTitleDeleted val="0"/>
    <c:plotArea>
      <c:layout/>
      <c:lineChart>
        <c:grouping val="standard"/>
        <c:varyColors val="0"/>
        <c:ser>
          <c:idx val="0"/>
          <c:order val="0"/>
          <c:tx>
            <c:strRef>
              <c:f>'Central Arrival OT'!$C$4</c:f>
              <c:strCache>
                <c:ptCount val="1"/>
                <c:pt idx="0">
                  <c:v>Arrival OT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Arrival OT'!$A$5:$A$33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Arrival OT'!$C$5:$C$33</c:f>
              <c:numCache>
                <c:formatCode>0.0%</c:formatCode>
                <c:ptCount val="29"/>
                <c:pt idx="0">
                  <c:v>0.875</c:v>
                </c:pt>
                <c:pt idx="1">
                  <c:v>0.967741935483871</c:v>
                </c:pt>
                <c:pt idx="2">
                  <c:v>0.68181818181818099</c:v>
                </c:pt>
                <c:pt idx="3">
                  <c:v>0.96428571428571397</c:v>
                </c:pt>
                <c:pt idx="4">
                  <c:v>0.79310344827586199</c:v>
                </c:pt>
                <c:pt idx="5">
                  <c:v>0.75</c:v>
                </c:pt>
                <c:pt idx="6">
                  <c:v>0.95</c:v>
                </c:pt>
                <c:pt idx="7">
                  <c:v>0.80952380952380898</c:v>
                </c:pt>
                <c:pt idx="8">
                  <c:v>0.93181818181818099</c:v>
                </c:pt>
                <c:pt idx="9">
                  <c:v>0.89743589743589702</c:v>
                </c:pt>
                <c:pt idx="10">
                  <c:v>0.95</c:v>
                </c:pt>
                <c:pt idx="11">
                  <c:v>0.73529411764705799</c:v>
                </c:pt>
                <c:pt idx="12">
                  <c:v>0.94444444444444398</c:v>
                </c:pt>
                <c:pt idx="13">
                  <c:v>0.74285714285714199</c:v>
                </c:pt>
                <c:pt idx="14">
                  <c:v>0.76190476190476097</c:v>
                </c:pt>
                <c:pt idx="15">
                  <c:v>0.69047619047619002</c:v>
                </c:pt>
                <c:pt idx="16">
                  <c:v>0.81395348837209303</c:v>
                </c:pt>
                <c:pt idx="17">
                  <c:v>0.84</c:v>
                </c:pt>
                <c:pt idx="18">
                  <c:v>0.80555555555555503</c:v>
                </c:pt>
                <c:pt idx="19">
                  <c:v>0.8</c:v>
                </c:pt>
                <c:pt idx="20">
                  <c:v>0.72499999999999998</c:v>
                </c:pt>
                <c:pt idx="21">
                  <c:v>0.94117647058823495</c:v>
                </c:pt>
                <c:pt idx="22">
                  <c:v>0.891891891891891</c:v>
                </c:pt>
                <c:pt idx="23">
                  <c:v>1</c:v>
                </c:pt>
                <c:pt idx="24">
                  <c:v>0.75609756097560898</c:v>
                </c:pt>
                <c:pt idx="25">
                  <c:v>0.90196078431372495</c:v>
                </c:pt>
                <c:pt idx="26">
                  <c:v>0.79545454545454497</c:v>
                </c:pt>
                <c:pt idx="27">
                  <c:v>0.72219999999999995</c:v>
                </c:pt>
                <c:pt idx="28">
                  <c:v>0.72089999999999999</c:v>
                </c:pt>
              </c:numCache>
            </c:numRef>
          </c:val>
          <c:smooth val="0"/>
          <c:extLst>
            <c:ext xmlns:c16="http://schemas.microsoft.com/office/drawing/2014/chart" uri="{C3380CC4-5D6E-409C-BE32-E72D297353CC}">
              <c16:uniqueId val="{00000000-0B76-49C4-9C0F-E4D8FA652309}"/>
            </c:ext>
          </c:extLst>
        </c:ser>
        <c:ser>
          <c:idx val="1"/>
          <c:order val="1"/>
          <c:tx>
            <c:strRef>
              <c:f>'Central Arrival OT'!$D$4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Arrival OT'!$A$5:$A$33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Arrival OT'!$D$5:$D$33</c:f>
              <c:numCache>
                <c:formatCode>0.0%</c:formatCode>
                <c:ptCount val="29"/>
                <c:pt idx="0">
                  <c:v>0.9</c:v>
                </c:pt>
                <c:pt idx="1">
                  <c:v>0.9</c:v>
                </c:pt>
                <c:pt idx="2">
                  <c:v>0.9</c:v>
                </c:pt>
                <c:pt idx="3">
                  <c:v>0.84152003910068396</c:v>
                </c:pt>
                <c:pt idx="4">
                  <c:v>0.84152003910068396</c:v>
                </c:pt>
                <c:pt idx="5">
                  <c:v>0.84152003910068396</c:v>
                </c:pt>
                <c:pt idx="6">
                  <c:v>0.84152003910068396</c:v>
                </c:pt>
                <c:pt idx="7">
                  <c:v>0.84152003910068396</c:v>
                </c:pt>
                <c:pt idx="8">
                  <c:v>0.84152003910068396</c:v>
                </c:pt>
                <c:pt idx="9">
                  <c:v>0.84152003910068396</c:v>
                </c:pt>
                <c:pt idx="10">
                  <c:v>0.84152003910068396</c:v>
                </c:pt>
                <c:pt idx="11">
                  <c:v>0.84152003910068396</c:v>
                </c:pt>
                <c:pt idx="12">
                  <c:v>0.84152003910068396</c:v>
                </c:pt>
                <c:pt idx="13">
                  <c:v>0.84152003910068396</c:v>
                </c:pt>
                <c:pt idx="14">
                  <c:v>0.86079661420800979</c:v>
                </c:pt>
                <c:pt idx="15">
                  <c:v>0.86079661420800979</c:v>
                </c:pt>
                <c:pt idx="16">
                  <c:v>0.86079661420800979</c:v>
                </c:pt>
                <c:pt idx="17">
                  <c:v>0.86079661420800979</c:v>
                </c:pt>
                <c:pt idx="18">
                  <c:v>0.79893933800910499</c:v>
                </c:pt>
                <c:pt idx="19">
                  <c:v>0.79893933800910499</c:v>
                </c:pt>
                <c:pt idx="20">
                  <c:v>0.79893933800910499</c:v>
                </c:pt>
                <c:pt idx="21">
                  <c:v>0.79893933800910499</c:v>
                </c:pt>
                <c:pt idx="22">
                  <c:v>0.79893933800910499</c:v>
                </c:pt>
                <c:pt idx="23">
                  <c:v>0.79893933800910499</c:v>
                </c:pt>
                <c:pt idx="24">
                  <c:v>0.79893933800910499</c:v>
                </c:pt>
                <c:pt idx="25">
                  <c:v>0.79893933800910499</c:v>
                </c:pt>
                <c:pt idx="26">
                  <c:v>0.79893933800910499</c:v>
                </c:pt>
                <c:pt idx="27">
                  <c:v>0.79893933800910499</c:v>
                </c:pt>
                <c:pt idx="28">
                  <c:v>0.79893933800910499</c:v>
                </c:pt>
              </c:numCache>
            </c:numRef>
          </c:val>
          <c:smooth val="0"/>
          <c:extLst>
            <c:ext xmlns:c16="http://schemas.microsoft.com/office/drawing/2014/chart" uri="{C3380CC4-5D6E-409C-BE32-E72D297353CC}">
              <c16:uniqueId val="{00000001-0B76-49C4-9C0F-E4D8FA652309}"/>
            </c:ext>
          </c:extLst>
        </c:ser>
        <c:ser>
          <c:idx val="2"/>
          <c:order val="2"/>
          <c:tx>
            <c:strRef>
              <c:f>'Central Arrival OT'!$F$4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Arrival OT'!$A$5:$A$33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Arrival OT'!$F$5:$F$33</c:f>
              <c:numCache>
                <c:formatCode>0.0%</c:formatCode>
                <c:ptCount val="29"/>
                <c:pt idx="0">
                  <c:v>0.76431989494000641</c:v>
                </c:pt>
                <c:pt idx="1">
                  <c:v>0.75204091142517848</c:v>
                </c:pt>
                <c:pt idx="2">
                  <c:v>0.77752551286084115</c:v>
                </c:pt>
                <c:pt idx="3">
                  <c:v>0.65633468284268992</c:v>
                </c:pt>
                <c:pt idx="4">
                  <c:v>0.66608822269898293</c:v>
                </c:pt>
                <c:pt idx="5">
                  <c:v>0.68171453457308873</c:v>
                </c:pt>
                <c:pt idx="6">
                  <c:v>0.67635644485422408</c:v>
                </c:pt>
                <c:pt idx="7">
                  <c:v>0.67998685728708197</c:v>
                </c:pt>
                <c:pt idx="8">
                  <c:v>0.68338793675465448</c:v>
                </c:pt>
                <c:pt idx="9">
                  <c:v>0.68171453457308873</c:v>
                </c:pt>
                <c:pt idx="10">
                  <c:v>0.67444697570499845</c:v>
                </c:pt>
                <c:pt idx="11">
                  <c:v>0.65892481538668091</c:v>
                </c:pt>
                <c:pt idx="12">
                  <c:v>0.70349102409055375</c:v>
                </c:pt>
                <c:pt idx="13">
                  <c:v>0.66829500005941211</c:v>
                </c:pt>
                <c:pt idx="14">
                  <c:v>0.70768169369969347</c:v>
                </c:pt>
                <c:pt idx="15">
                  <c:v>0.71090552676280228</c:v>
                </c:pt>
                <c:pt idx="16">
                  <c:v>0.71947794171210044</c:v>
                </c:pt>
                <c:pt idx="17">
                  <c:v>0.72324711890041438</c:v>
                </c:pt>
                <c:pt idx="18">
                  <c:v>0.6253907467277231</c:v>
                </c:pt>
                <c:pt idx="19">
                  <c:v>0.61115914413182759</c:v>
                </c:pt>
                <c:pt idx="20">
                  <c:v>0.63219924490493706</c:v>
                </c:pt>
                <c:pt idx="21">
                  <c:v>0.60388756015214562</c:v>
                </c:pt>
                <c:pt idx="22">
                  <c:v>0.61340808985704953</c:v>
                </c:pt>
                <c:pt idx="23">
                  <c:v>0.6253907467277231</c:v>
                </c:pt>
                <c:pt idx="24">
                  <c:v>0.61969912366495838</c:v>
                </c:pt>
                <c:pt idx="25">
                  <c:v>0.64371275900730607</c:v>
                </c:pt>
                <c:pt idx="26">
                  <c:v>0.63531615699518806</c:v>
                </c:pt>
                <c:pt idx="27">
                  <c:v>0.65093660207431436</c:v>
                </c:pt>
                <c:pt idx="28">
                  <c:v>0.63531615699518806</c:v>
                </c:pt>
              </c:numCache>
            </c:numRef>
          </c:val>
          <c:smooth val="0"/>
          <c:extLst>
            <c:ext xmlns:c16="http://schemas.microsoft.com/office/drawing/2014/chart" uri="{C3380CC4-5D6E-409C-BE32-E72D297353CC}">
              <c16:uniqueId val="{00000002-0B76-49C4-9C0F-E4D8FA652309}"/>
            </c:ext>
          </c:extLst>
        </c:ser>
        <c:ser>
          <c:idx val="3"/>
          <c:order val="3"/>
          <c:tx>
            <c:strRef>
              <c:f>'Central Arrival OT'!$G$4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Arrival OT'!$A$5:$A$33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Arrival OT'!$G$5:$G$33</c:f>
              <c:numCache>
                <c:formatCode>0%</c:formatCode>
                <c:ptCount val="29"/>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numCache>
            </c:numRef>
          </c:val>
          <c:smooth val="0"/>
          <c:extLst>
            <c:ext xmlns:c16="http://schemas.microsoft.com/office/drawing/2014/chart" uri="{C3380CC4-5D6E-409C-BE32-E72D297353CC}">
              <c16:uniqueId val="{00000003-0B76-49C4-9C0F-E4D8FA652309}"/>
            </c:ext>
          </c:extLst>
        </c:ser>
        <c:dLbls>
          <c:showLegendKey val="0"/>
          <c:showVal val="0"/>
          <c:showCatName val="0"/>
          <c:showSerName val="0"/>
          <c:showPercent val="0"/>
          <c:showBubbleSize val="0"/>
        </c:dLbls>
        <c:hiLowLines>
          <c:spPr>
            <a:ln w="0">
              <a:noFill/>
            </a:ln>
          </c:spPr>
        </c:hiLowLines>
        <c:marker val="1"/>
        <c:smooth val="0"/>
        <c:axId val="40033171"/>
        <c:axId val="58324959"/>
      </c:lineChart>
      <c:dateAx>
        <c:axId val="4003317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8324959"/>
        <c:crosses val="autoZero"/>
        <c:auto val="1"/>
        <c:lblOffset val="100"/>
        <c:baseTimeUnit val="days"/>
      </c:dateAx>
      <c:valAx>
        <c:axId val="58324959"/>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On-time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03317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Central Hub — Instant Availability % vs Target (90%)</a:t>
            </a:r>
          </a:p>
        </c:rich>
      </c:tx>
      <c:overlay val="0"/>
      <c:spPr>
        <a:noFill/>
        <a:ln w="0">
          <a:noFill/>
        </a:ln>
      </c:spPr>
    </c:title>
    <c:autoTitleDeleted val="0"/>
    <c:plotArea>
      <c:layout/>
      <c:lineChart>
        <c:grouping val="standard"/>
        <c:varyColors val="0"/>
        <c:ser>
          <c:idx val="0"/>
          <c:order val="0"/>
          <c:tx>
            <c:strRef>
              <c:f>'Central Availability'!$C$4</c:f>
              <c:strCache>
                <c:ptCount val="1"/>
                <c:pt idx="0">
                  <c:v>Availability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Availability'!$A$5:$A$33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Availability'!$C$5:$C$33</c:f>
              <c:numCache>
                <c:formatCode>0.0%</c:formatCode>
                <c:ptCount val="29"/>
                <c:pt idx="0">
                  <c:v>1</c:v>
                </c:pt>
                <c:pt idx="1">
                  <c:v>0.39100000000000001</c:v>
                </c:pt>
                <c:pt idx="2">
                  <c:v>0.26100000000000001</c:v>
                </c:pt>
                <c:pt idx="3">
                  <c:v>0.48399999999999999</c:v>
                </c:pt>
                <c:pt idx="4">
                  <c:v>0.71</c:v>
                </c:pt>
                <c:pt idx="5">
                  <c:v>0.82799999999999996</c:v>
                </c:pt>
                <c:pt idx="6">
                  <c:v>0.83299999999999996</c:v>
                </c:pt>
                <c:pt idx="7">
                  <c:v>0.90500000000000003</c:v>
                </c:pt>
                <c:pt idx="8">
                  <c:v>0.90900000000000003</c:v>
                </c:pt>
                <c:pt idx="9">
                  <c:v>0.93300000000000005</c:v>
                </c:pt>
                <c:pt idx="10">
                  <c:v>0.63200000000000001</c:v>
                </c:pt>
                <c:pt idx="11">
                  <c:v>0.40799999999999997</c:v>
                </c:pt>
                <c:pt idx="12">
                  <c:v>0.98399999999999999</c:v>
                </c:pt>
                <c:pt idx="13">
                  <c:v>0.39500000000000002</c:v>
                </c:pt>
                <c:pt idx="14">
                  <c:v>0.219</c:v>
                </c:pt>
                <c:pt idx="15">
                  <c:v>0.30099999999999999</c:v>
                </c:pt>
                <c:pt idx="16">
                  <c:v>0.48899999999999999</c:v>
                </c:pt>
                <c:pt idx="17">
                  <c:v>0.34399999999999997</c:v>
                </c:pt>
                <c:pt idx="18">
                  <c:v>0.218</c:v>
                </c:pt>
                <c:pt idx="19">
                  <c:v>0.32200000000000001</c:v>
                </c:pt>
                <c:pt idx="20">
                  <c:v>0.73</c:v>
                </c:pt>
                <c:pt idx="21">
                  <c:v>0.54700000000000004</c:v>
                </c:pt>
                <c:pt idx="22">
                  <c:v>0.72699999999999998</c:v>
                </c:pt>
                <c:pt idx="23">
                  <c:v>0.879</c:v>
                </c:pt>
                <c:pt idx="24">
                  <c:v>0.441</c:v>
                </c:pt>
                <c:pt idx="25">
                  <c:v>0.70499999999999996</c:v>
                </c:pt>
                <c:pt idx="26">
                  <c:v>0.438</c:v>
                </c:pt>
                <c:pt idx="27">
                  <c:v>0.72219999999999995</c:v>
                </c:pt>
                <c:pt idx="28">
                  <c:v>0.62190000000000001</c:v>
                </c:pt>
              </c:numCache>
            </c:numRef>
          </c:val>
          <c:smooth val="0"/>
          <c:extLst>
            <c:ext xmlns:c16="http://schemas.microsoft.com/office/drawing/2014/chart" uri="{C3380CC4-5D6E-409C-BE32-E72D297353CC}">
              <c16:uniqueId val="{00000000-3875-499C-910F-74AEF1F772EB}"/>
            </c:ext>
          </c:extLst>
        </c:ser>
        <c:ser>
          <c:idx val="1"/>
          <c:order val="1"/>
          <c:tx>
            <c:strRef>
              <c:f>'Central Availability'!$D$4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Availability'!$A$5:$A$33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Availability'!$D$5:$D$33</c:f>
              <c:numCache>
                <c:formatCode>0.0%</c:formatCode>
                <c:ptCount val="29"/>
                <c:pt idx="0">
                  <c:v>0.85</c:v>
                </c:pt>
                <c:pt idx="1">
                  <c:v>0.85</c:v>
                </c:pt>
                <c:pt idx="2">
                  <c:v>0.69550000000000001</c:v>
                </c:pt>
                <c:pt idx="3">
                  <c:v>0.69550000000000001</c:v>
                </c:pt>
                <c:pt idx="4">
                  <c:v>0.69550000000000001</c:v>
                </c:pt>
                <c:pt idx="5">
                  <c:v>0.69550000000000001</c:v>
                </c:pt>
                <c:pt idx="6">
                  <c:v>0.69550000000000001</c:v>
                </c:pt>
                <c:pt idx="7">
                  <c:v>0.69550000000000001</c:v>
                </c:pt>
                <c:pt idx="8">
                  <c:v>0.69550000000000001</c:v>
                </c:pt>
                <c:pt idx="9">
                  <c:v>0.69550000000000001</c:v>
                </c:pt>
                <c:pt idx="10">
                  <c:v>0.69550000000000001</c:v>
                </c:pt>
                <c:pt idx="11">
                  <c:v>0.69550000000000001</c:v>
                </c:pt>
                <c:pt idx="12">
                  <c:v>0.69550000000000001</c:v>
                </c:pt>
                <c:pt idx="13">
                  <c:v>0.69550000000000001</c:v>
                </c:pt>
                <c:pt idx="14">
                  <c:v>0.69016666666666671</c:v>
                </c:pt>
                <c:pt idx="15">
                  <c:v>0.69016666666666671</c:v>
                </c:pt>
                <c:pt idx="16">
                  <c:v>0.69016666666666671</c:v>
                </c:pt>
                <c:pt idx="17">
                  <c:v>0.69016666666666671</c:v>
                </c:pt>
                <c:pt idx="18">
                  <c:v>0.45533333333333331</c:v>
                </c:pt>
                <c:pt idx="19">
                  <c:v>0.45533333333333331</c:v>
                </c:pt>
                <c:pt idx="20">
                  <c:v>0.45533333333333331</c:v>
                </c:pt>
                <c:pt idx="21">
                  <c:v>0.45533333333333331</c:v>
                </c:pt>
                <c:pt idx="22">
                  <c:v>0.45533333333333331</c:v>
                </c:pt>
                <c:pt idx="23">
                  <c:v>0.45533333333333331</c:v>
                </c:pt>
                <c:pt idx="24">
                  <c:v>0.45533333333333331</c:v>
                </c:pt>
                <c:pt idx="25">
                  <c:v>0.45533333333333331</c:v>
                </c:pt>
                <c:pt idx="26">
                  <c:v>0.45533333333333331</c:v>
                </c:pt>
                <c:pt idx="27">
                  <c:v>0.45533333333333331</c:v>
                </c:pt>
                <c:pt idx="28">
                  <c:v>0.45533333333333331</c:v>
                </c:pt>
              </c:numCache>
            </c:numRef>
          </c:val>
          <c:smooth val="0"/>
          <c:extLst>
            <c:ext xmlns:c16="http://schemas.microsoft.com/office/drawing/2014/chart" uri="{C3380CC4-5D6E-409C-BE32-E72D297353CC}">
              <c16:uniqueId val="{00000001-3875-499C-910F-74AEF1F772EB}"/>
            </c:ext>
          </c:extLst>
        </c:ser>
        <c:ser>
          <c:idx val="2"/>
          <c:order val="2"/>
          <c:tx>
            <c:strRef>
              <c:f>'Central Availability'!$F$4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Availability'!$A$5:$A$33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Availability'!$F$5:$F$33</c:f>
              <c:numCache>
                <c:formatCode>0.0%</c:formatCode>
                <c:ptCount val="29"/>
                <c:pt idx="0">
                  <c:v>0.68850837342281346</c:v>
                </c:pt>
                <c:pt idx="1">
                  <c:v>0.67389345976507997</c:v>
                </c:pt>
                <c:pt idx="2">
                  <c:v>0.50762603959036789</c:v>
                </c:pt>
                <c:pt idx="3">
                  <c:v>0.4621383707633151</c:v>
                </c:pt>
                <c:pt idx="4">
                  <c:v>0.47442930994815258</c:v>
                </c:pt>
                <c:pt idx="5">
                  <c:v>0.49412083238592885</c:v>
                </c:pt>
                <c:pt idx="6">
                  <c:v>0.48736882687287636</c:v>
                </c:pt>
                <c:pt idx="7">
                  <c:v>0.49194369703135971</c:v>
                </c:pt>
                <c:pt idx="8">
                  <c:v>0.4962295728789643</c:v>
                </c:pt>
                <c:pt idx="9">
                  <c:v>0.49412083238592885</c:v>
                </c:pt>
                <c:pt idx="10">
                  <c:v>0.48496260620486797</c:v>
                </c:pt>
                <c:pt idx="11">
                  <c:v>0.46540233052027669</c:v>
                </c:pt>
                <c:pt idx="12">
                  <c:v>0.52156251122889008</c:v>
                </c:pt>
                <c:pt idx="13">
                  <c:v>0.47721018404423904</c:v>
                </c:pt>
                <c:pt idx="14">
                  <c:v>0.48562424255648473</c:v>
                </c:pt>
                <c:pt idx="15">
                  <c:v>0.48993088117449579</c:v>
                </c:pt>
                <c:pt idx="16">
                  <c:v>0.50138255765636153</c:v>
                </c:pt>
                <c:pt idx="17">
                  <c:v>0.50641770796332763</c:v>
                </c:pt>
                <c:pt idx="18">
                  <c:v>0.2396926213453911</c:v>
                </c:pt>
                <c:pt idx="19">
                  <c:v>0.22200931493622184</c:v>
                </c:pt>
                <c:pt idx="20">
                  <c:v>0.24815243875827103</c:v>
                </c:pt>
                <c:pt idx="21">
                  <c:v>0.21297409583659588</c:v>
                </c:pt>
                <c:pt idx="22">
                  <c:v>0.22480371536222582</c:v>
                </c:pt>
                <c:pt idx="23">
                  <c:v>0.2396926213453911</c:v>
                </c:pt>
                <c:pt idx="24">
                  <c:v>0.23262056365503719</c:v>
                </c:pt>
                <c:pt idx="25">
                  <c:v>0.26245841704473627</c:v>
                </c:pt>
                <c:pt idx="26">
                  <c:v>0.25202532033790775</c:v>
                </c:pt>
                <c:pt idx="27">
                  <c:v>0.27143431624828068</c:v>
                </c:pt>
                <c:pt idx="28">
                  <c:v>0.25202532033790775</c:v>
                </c:pt>
              </c:numCache>
            </c:numRef>
          </c:val>
          <c:smooth val="0"/>
          <c:extLst>
            <c:ext xmlns:c16="http://schemas.microsoft.com/office/drawing/2014/chart" uri="{C3380CC4-5D6E-409C-BE32-E72D297353CC}">
              <c16:uniqueId val="{00000002-3875-499C-910F-74AEF1F772EB}"/>
            </c:ext>
          </c:extLst>
        </c:ser>
        <c:ser>
          <c:idx val="3"/>
          <c:order val="3"/>
          <c:tx>
            <c:strRef>
              <c:f>'Central Availability'!$G$4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'Central Availability'!$A$5:$A$33</c:f>
              <c:numCache>
                <c:formatCode>dd\-mmm\-yy</c:formatCode>
                <c:ptCount val="29"/>
                <c:pt idx="0">
                  <c:v>46191</c:v>
                </c:pt>
                <c:pt idx="1">
                  <c:v>46192</c:v>
                </c:pt>
                <c:pt idx="2">
                  <c:v>46193</c:v>
                </c:pt>
                <c:pt idx="3">
                  <c:v>46194</c:v>
                </c:pt>
                <c:pt idx="4">
                  <c:v>46195</c:v>
                </c:pt>
                <c:pt idx="5">
                  <c:v>46196</c:v>
                </c:pt>
                <c:pt idx="6">
                  <c:v>46197</c:v>
                </c:pt>
                <c:pt idx="7">
                  <c:v>46198</c:v>
                </c:pt>
                <c:pt idx="8">
                  <c:v>46199</c:v>
                </c:pt>
                <c:pt idx="9">
                  <c:v>46200</c:v>
                </c:pt>
                <c:pt idx="10">
                  <c:v>46201</c:v>
                </c:pt>
                <c:pt idx="11">
                  <c:v>46202</c:v>
                </c:pt>
                <c:pt idx="12">
                  <c:v>46203</c:v>
                </c:pt>
                <c:pt idx="13">
                  <c:v>46204</c:v>
                </c:pt>
                <c:pt idx="14">
                  <c:v>46205</c:v>
                </c:pt>
                <c:pt idx="15">
                  <c:v>46206</c:v>
                </c:pt>
                <c:pt idx="16">
                  <c:v>46207</c:v>
                </c:pt>
                <c:pt idx="17">
                  <c:v>46208</c:v>
                </c:pt>
                <c:pt idx="18">
                  <c:v>46209</c:v>
                </c:pt>
                <c:pt idx="19">
                  <c:v>46210</c:v>
                </c:pt>
                <c:pt idx="20">
                  <c:v>46211</c:v>
                </c:pt>
                <c:pt idx="21">
                  <c:v>46212</c:v>
                </c:pt>
                <c:pt idx="22">
                  <c:v>46213</c:v>
                </c:pt>
                <c:pt idx="23">
                  <c:v>46214</c:v>
                </c:pt>
                <c:pt idx="24">
                  <c:v>46215</c:v>
                </c:pt>
                <c:pt idx="25">
                  <c:v>46216</c:v>
                </c:pt>
                <c:pt idx="26">
                  <c:v>46217</c:v>
                </c:pt>
                <c:pt idx="27">
                  <c:v>46218</c:v>
                </c:pt>
                <c:pt idx="28">
                  <c:v>46219</c:v>
                </c:pt>
              </c:numCache>
            </c:numRef>
          </c:cat>
          <c:val>
            <c:numRef>
              <c:f>'Central Availability'!$G$5:$G$33</c:f>
              <c:numCache>
                <c:formatCode>0%</c:formatCode>
                <c:ptCount val="29"/>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numCache>
            </c:numRef>
          </c:val>
          <c:smooth val="0"/>
          <c:extLst>
            <c:ext xmlns:c16="http://schemas.microsoft.com/office/drawing/2014/chart" uri="{C3380CC4-5D6E-409C-BE32-E72D297353CC}">
              <c16:uniqueId val="{00000003-3875-499C-910F-74AEF1F772EB}"/>
            </c:ext>
          </c:extLst>
        </c:ser>
        <c:dLbls>
          <c:showLegendKey val="0"/>
          <c:showVal val="0"/>
          <c:showCatName val="0"/>
          <c:showSerName val="0"/>
          <c:showPercent val="0"/>
          <c:showBubbleSize val="0"/>
        </c:dLbls>
        <c:hiLowLines>
          <c:spPr>
            <a:ln w="0">
              <a:noFill/>
            </a:ln>
          </c:spPr>
        </c:hiLowLines>
        <c:marker val="1"/>
        <c:smooth val="0"/>
        <c:axId val="20633920"/>
        <c:axId val="1769564"/>
      </c:lineChart>
      <c:dateAx>
        <c:axId val="2063392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69564"/>
        <c:crosses val="autoZero"/>
        <c:auto val="1"/>
        <c:lblOffset val="100"/>
        <c:baseTimeUnit val="days"/>
      </c:dateAx>
      <c:valAx>
        <c:axId val="1769564"/>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Availability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6339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Combined — Arrival On-Time % vs Target (95%)</a:t>
            </a:r>
          </a:p>
        </c:rich>
      </c:tx>
      <c:overlay val="0"/>
      <c:spPr>
        <a:noFill/>
        <a:ln w="0">
          <a:noFill/>
        </a:ln>
      </c:spPr>
    </c:title>
    <c:autoTitleDeleted val="0"/>
    <c:plotArea>
      <c:layout/>
      <c:lineChart>
        <c:grouping val="standard"/>
        <c:varyColors val="0"/>
        <c:ser>
          <c:idx val="0"/>
          <c:order val="0"/>
          <c:tx>
            <c:strRef>
              <c:f>'Combined Arrival OT'!$C$4</c:f>
              <c:strCache>
                <c:ptCount val="1"/>
                <c:pt idx="0">
                  <c:v>Arrival OT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Arrival OT'!$C$5:$C$38</c:f>
              <c:numCache>
                <c:formatCode>0.0%</c:formatCode>
                <c:ptCount val="34"/>
                <c:pt idx="0">
                  <c:v>0.939393939393939</c:v>
                </c:pt>
                <c:pt idx="1">
                  <c:v>0.9375</c:v>
                </c:pt>
                <c:pt idx="2">
                  <c:v>0.90804597701149403</c:v>
                </c:pt>
                <c:pt idx="3">
                  <c:v>0.93548387096774099</c:v>
                </c:pt>
                <c:pt idx="4">
                  <c:v>0.87951807228915591</c:v>
                </c:pt>
                <c:pt idx="5">
                  <c:v>0.92826914938637306</c:v>
                </c:pt>
                <c:pt idx="6">
                  <c:v>0.89685331350568076</c:v>
                </c:pt>
                <c:pt idx="7">
                  <c:v>0.64012551140697516</c:v>
                </c:pt>
                <c:pt idx="8">
                  <c:v>0.87179681194511682</c:v>
                </c:pt>
                <c:pt idx="9">
                  <c:v>0.84708072874780882</c:v>
                </c:pt>
                <c:pt idx="10">
                  <c:v>0.75700311249444163</c:v>
                </c:pt>
                <c:pt idx="11">
                  <c:v>0.8347937561269887</c:v>
                </c:pt>
                <c:pt idx="12">
                  <c:v>0.91236154903387479</c:v>
                </c:pt>
                <c:pt idx="13">
                  <c:v>0.91079595602984786</c:v>
                </c:pt>
                <c:pt idx="14">
                  <c:v>0.85784487263777143</c:v>
                </c:pt>
                <c:pt idx="15">
                  <c:v>0.95390804597701107</c:v>
                </c:pt>
                <c:pt idx="16">
                  <c:v>0.90813878784797408</c:v>
                </c:pt>
                <c:pt idx="17">
                  <c:v>0.89349112426035426</c:v>
                </c:pt>
                <c:pt idx="18">
                  <c:v>0.88262206148282074</c:v>
                </c:pt>
                <c:pt idx="19">
                  <c:v>0.87467244962501067</c:v>
                </c:pt>
                <c:pt idx="20">
                  <c:v>0.84624460521004707</c:v>
                </c:pt>
                <c:pt idx="21">
                  <c:v>0.87922083937561668</c:v>
                </c:pt>
                <c:pt idx="22">
                  <c:v>0.88493204519403901</c:v>
                </c:pt>
                <c:pt idx="23">
                  <c:v>0.89072152211514666</c:v>
                </c:pt>
                <c:pt idx="24">
                  <c:v>0.87143801215966132</c:v>
                </c:pt>
                <c:pt idx="25">
                  <c:v>0.84783430232558099</c:v>
                </c:pt>
                <c:pt idx="26">
                  <c:v>0.96840627403287216</c:v>
                </c:pt>
                <c:pt idx="27">
                  <c:v>0.93952545133929932</c:v>
                </c:pt>
                <c:pt idx="28">
                  <c:v>0.95855343356359146</c:v>
                </c:pt>
                <c:pt idx="29">
                  <c:v>0.91207069949517916</c:v>
                </c:pt>
                <c:pt idx="30">
                  <c:v>0.90184071010603162</c:v>
                </c:pt>
                <c:pt idx="31">
                  <c:v>0.91248629930265357</c:v>
                </c:pt>
                <c:pt idx="32">
                  <c:v>0.85187679558011054</c:v>
                </c:pt>
                <c:pt idx="33">
                  <c:v>0.86999894736842109</c:v>
                </c:pt>
              </c:numCache>
            </c:numRef>
          </c:val>
          <c:smooth val="0"/>
          <c:extLst>
            <c:ext xmlns:c16="http://schemas.microsoft.com/office/drawing/2014/chart" uri="{C3380CC4-5D6E-409C-BE32-E72D297353CC}">
              <c16:uniqueId val="{00000000-CB5B-4FCE-A070-4B3CB4488C27}"/>
            </c:ext>
          </c:extLst>
        </c:ser>
        <c:ser>
          <c:idx val="1"/>
          <c:order val="1"/>
          <c:tx>
            <c:strRef>
              <c:f>'Combined Arrival OT'!$D$4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Arrival OT'!$D$5:$D$38</c:f>
              <c:numCache>
                <c:formatCode>0.0%</c:formatCode>
                <c:ptCount val="34"/>
                <c:pt idx="0">
                  <c:v>0.9</c:v>
                </c:pt>
                <c:pt idx="1">
                  <c:v>0.9</c:v>
                </c:pt>
                <c:pt idx="2">
                  <c:v>0.9</c:v>
                </c:pt>
                <c:pt idx="3">
                  <c:v>0.9</c:v>
                </c:pt>
                <c:pt idx="4">
                  <c:v>0.9</c:v>
                </c:pt>
                <c:pt idx="5">
                  <c:v>0.9</c:v>
                </c:pt>
                <c:pt idx="6">
                  <c:v>0.9</c:v>
                </c:pt>
                <c:pt idx="7">
                  <c:v>0.9</c:v>
                </c:pt>
                <c:pt idx="8">
                  <c:v>0.88314872924516985</c:v>
                </c:pt>
                <c:pt idx="9">
                  <c:v>0.88314872924516985</c:v>
                </c:pt>
                <c:pt idx="10">
                  <c:v>0.88314872924516985</c:v>
                </c:pt>
                <c:pt idx="11">
                  <c:v>0.88314872924516985</c:v>
                </c:pt>
                <c:pt idx="12">
                  <c:v>0.88314872924516985</c:v>
                </c:pt>
                <c:pt idx="13">
                  <c:v>0.88314872924516985</c:v>
                </c:pt>
                <c:pt idx="14">
                  <c:v>0.85563865239634651</c:v>
                </c:pt>
                <c:pt idx="15">
                  <c:v>0.85563865239634651</c:v>
                </c:pt>
                <c:pt idx="16">
                  <c:v>0.85563865239634651</c:v>
                </c:pt>
                <c:pt idx="17">
                  <c:v>0.85563865239634651</c:v>
                </c:pt>
                <c:pt idx="18">
                  <c:v>0.85563865239634651</c:v>
                </c:pt>
                <c:pt idx="19">
                  <c:v>0.85563865239634651</c:v>
                </c:pt>
                <c:pt idx="20">
                  <c:v>0.85563865239634651</c:v>
                </c:pt>
                <c:pt idx="21">
                  <c:v>0.85563865239634651</c:v>
                </c:pt>
                <c:pt idx="22">
                  <c:v>0.85563865239634651</c:v>
                </c:pt>
                <c:pt idx="23">
                  <c:v>0.85563865239634651</c:v>
                </c:pt>
                <c:pt idx="24">
                  <c:v>0.85563865239634651</c:v>
                </c:pt>
                <c:pt idx="25">
                  <c:v>0.85563865239634651</c:v>
                </c:pt>
                <c:pt idx="26">
                  <c:v>0.85563865239634651</c:v>
                </c:pt>
                <c:pt idx="27">
                  <c:v>0.85563865239634651</c:v>
                </c:pt>
                <c:pt idx="28">
                  <c:v>0.85563865239634651</c:v>
                </c:pt>
                <c:pt idx="29">
                  <c:v>0.85563865239634651</c:v>
                </c:pt>
                <c:pt idx="30">
                  <c:v>0.89810153291512351</c:v>
                </c:pt>
                <c:pt idx="31">
                  <c:v>0.89810153291512351</c:v>
                </c:pt>
                <c:pt idx="32">
                  <c:v>0.89810153291512351</c:v>
                </c:pt>
                <c:pt idx="33">
                  <c:v>0.89810153291512351</c:v>
                </c:pt>
              </c:numCache>
            </c:numRef>
          </c:val>
          <c:smooth val="0"/>
          <c:extLst>
            <c:ext xmlns:c16="http://schemas.microsoft.com/office/drawing/2014/chart" uri="{C3380CC4-5D6E-409C-BE32-E72D297353CC}">
              <c16:uniqueId val="{00000001-CB5B-4FCE-A070-4B3CB4488C27}"/>
            </c:ext>
          </c:extLst>
        </c:ser>
        <c:ser>
          <c:idx val="2"/>
          <c:order val="2"/>
          <c:tx>
            <c:strRef>
              <c:f>'Combined Arrival OT'!$F$4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Arrival OT'!$F$5:$F$38</c:f>
              <c:numCache>
                <c:formatCode>0.0%</c:formatCode>
                <c:ptCount val="34"/>
                <c:pt idx="0">
                  <c:v>0.81950155281000758</c:v>
                </c:pt>
                <c:pt idx="1">
                  <c:v>0.81495799357292387</c:v>
                </c:pt>
                <c:pt idx="2">
                  <c:v>0.81044665288110096</c:v>
                </c:pt>
                <c:pt idx="3">
                  <c:v>0.81570727695764755</c:v>
                </c:pt>
                <c:pt idx="4">
                  <c:v>0.81174773918781717</c:v>
                </c:pt>
                <c:pt idx="5">
                  <c:v>0.82366299632880269</c:v>
                </c:pt>
                <c:pt idx="6">
                  <c:v>0.82500000000000007</c:v>
                </c:pt>
                <c:pt idx="7">
                  <c:v>0.83365111973029626</c:v>
                </c:pt>
                <c:pt idx="8">
                  <c:v>0.80879542762842027</c:v>
                </c:pt>
                <c:pt idx="9">
                  <c:v>0.80140630779809641</c:v>
                </c:pt>
                <c:pt idx="10">
                  <c:v>0.80987777507207825</c:v>
                </c:pt>
                <c:pt idx="11">
                  <c:v>0.80419697856006056</c:v>
                </c:pt>
                <c:pt idx="12">
                  <c:v>0.80497999047834101</c:v>
                </c:pt>
                <c:pt idx="13">
                  <c:v>0.81050492744252023</c:v>
                </c:pt>
                <c:pt idx="14">
                  <c:v>0.77453347777191006</c:v>
                </c:pt>
                <c:pt idx="15">
                  <c:v>0.76807821650734642</c:v>
                </c:pt>
                <c:pt idx="16">
                  <c:v>0.76746803187145729</c:v>
                </c:pt>
                <c:pt idx="17">
                  <c:v>0.77122171019812014</c:v>
                </c:pt>
                <c:pt idx="18">
                  <c:v>0.77175769620248702</c:v>
                </c:pt>
                <c:pt idx="19">
                  <c:v>0.76095367639803102</c:v>
                </c:pt>
                <c:pt idx="20">
                  <c:v>0.77524390174712832</c:v>
                </c:pt>
                <c:pt idx="21">
                  <c:v>0.77769758104941744</c:v>
                </c:pt>
                <c:pt idx="22">
                  <c:v>0.78051809479665679</c:v>
                </c:pt>
                <c:pt idx="23">
                  <c:v>0.76715811660825439</c:v>
                </c:pt>
                <c:pt idx="24">
                  <c:v>0.77122171019812014</c:v>
                </c:pt>
                <c:pt idx="25">
                  <c:v>0.77228360079870051</c:v>
                </c:pt>
                <c:pt idx="26">
                  <c:v>0.76746803187145729</c:v>
                </c:pt>
                <c:pt idx="27">
                  <c:v>0.77683154256284559</c:v>
                </c:pt>
                <c:pt idx="28">
                  <c:v>0.77790966599042222</c:v>
                </c:pt>
                <c:pt idx="29">
                  <c:v>0.77748375054789087</c:v>
                </c:pt>
                <c:pt idx="30">
                  <c:v>0.83243393727344139</c:v>
                </c:pt>
                <c:pt idx="31">
                  <c:v>0.83294365464947773</c:v>
                </c:pt>
                <c:pt idx="32">
                  <c:v>0.83064430171660419</c:v>
                </c:pt>
                <c:pt idx="33">
                  <c:v>0.83226135459568806</c:v>
                </c:pt>
              </c:numCache>
            </c:numRef>
          </c:val>
          <c:smooth val="0"/>
          <c:extLst>
            <c:ext xmlns:c16="http://schemas.microsoft.com/office/drawing/2014/chart" uri="{C3380CC4-5D6E-409C-BE32-E72D297353CC}">
              <c16:uniqueId val="{00000002-CB5B-4FCE-A070-4B3CB4488C27}"/>
            </c:ext>
          </c:extLst>
        </c:ser>
        <c:ser>
          <c:idx val="3"/>
          <c:order val="3"/>
          <c:tx>
            <c:strRef>
              <c:f>'Combined Arrival OT'!$G$4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Arrival OT'!$G$5:$G$38</c:f>
              <c:numCache>
                <c:formatCode>0%</c:formatCode>
                <c:ptCount val="34"/>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numCache>
            </c:numRef>
          </c:val>
          <c:smooth val="0"/>
          <c:extLst>
            <c:ext xmlns:c16="http://schemas.microsoft.com/office/drawing/2014/chart" uri="{C3380CC4-5D6E-409C-BE32-E72D297353CC}">
              <c16:uniqueId val="{00000003-CB5B-4FCE-A070-4B3CB4488C27}"/>
            </c:ext>
          </c:extLst>
        </c:ser>
        <c:dLbls>
          <c:showLegendKey val="0"/>
          <c:showVal val="0"/>
          <c:showCatName val="0"/>
          <c:showSerName val="0"/>
          <c:showPercent val="0"/>
          <c:showBubbleSize val="0"/>
        </c:dLbls>
        <c:hiLowLines>
          <c:spPr>
            <a:ln w="0">
              <a:noFill/>
            </a:ln>
          </c:spPr>
        </c:hiLowLines>
        <c:marker val="1"/>
        <c:smooth val="0"/>
        <c:axId val="30313372"/>
        <c:axId val="77964562"/>
      </c:lineChart>
      <c:dateAx>
        <c:axId val="3031337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7964562"/>
        <c:crosses val="autoZero"/>
        <c:auto val="1"/>
        <c:lblOffset val="100"/>
        <c:baseTimeUnit val="days"/>
      </c:dateAx>
      <c:valAx>
        <c:axId val="77964562"/>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On-time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31337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Combined — Instant Availability % vs Target (90%)</a:t>
            </a:r>
          </a:p>
        </c:rich>
      </c:tx>
      <c:overlay val="0"/>
      <c:spPr>
        <a:noFill/>
        <a:ln w="0">
          <a:noFill/>
        </a:ln>
      </c:spPr>
    </c:title>
    <c:autoTitleDeleted val="0"/>
    <c:plotArea>
      <c:layout/>
      <c:lineChart>
        <c:grouping val="standard"/>
        <c:varyColors val="0"/>
        <c:ser>
          <c:idx val="0"/>
          <c:order val="0"/>
          <c:tx>
            <c:strRef>
              <c:f>'Combined Availability'!$C$4</c:f>
              <c:strCache>
                <c:ptCount val="1"/>
                <c:pt idx="0">
                  <c:v>Availability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Availability'!$C$5:$C$38</c:f>
              <c:numCache>
                <c:formatCode>0.0%</c:formatCode>
                <c:ptCount val="34"/>
                <c:pt idx="0">
                  <c:v>0.88239999999999996</c:v>
                </c:pt>
                <c:pt idx="1">
                  <c:v>0.97829999999999995</c:v>
                </c:pt>
                <c:pt idx="2">
                  <c:v>0.44</c:v>
                </c:pt>
                <c:pt idx="3">
                  <c:v>0.88519999999999999</c:v>
                </c:pt>
                <c:pt idx="4">
                  <c:v>0.55840000000000001</c:v>
                </c:pt>
                <c:pt idx="5">
                  <c:v>0.69176258992805761</c:v>
                </c:pt>
                <c:pt idx="6">
                  <c:v>0.71839027777777775</c:v>
                </c:pt>
                <c:pt idx="7">
                  <c:v>0.63595108695652169</c:v>
                </c:pt>
                <c:pt idx="8">
                  <c:v>0.66497499999999998</c:v>
                </c:pt>
                <c:pt idx="9">
                  <c:v>0.78705035971223025</c:v>
                </c:pt>
                <c:pt idx="10">
                  <c:v>0.47286936416184971</c:v>
                </c:pt>
                <c:pt idx="11">
                  <c:v>0.55830872483221483</c:v>
                </c:pt>
                <c:pt idx="12">
                  <c:v>0.70304210526315791</c:v>
                </c:pt>
                <c:pt idx="13">
                  <c:v>0.6297272727272728</c:v>
                </c:pt>
                <c:pt idx="14">
                  <c:v>0.87272189349112428</c:v>
                </c:pt>
                <c:pt idx="15">
                  <c:v>0.86660000000000004</c:v>
                </c:pt>
                <c:pt idx="16">
                  <c:v>0.71762657342657343</c:v>
                </c:pt>
                <c:pt idx="17">
                  <c:v>0.95216538461538469</c:v>
                </c:pt>
                <c:pt idx="18">
                  <c:v>0.67670632911392403</c:v>
                </c:pt>
                <c:pt idx="19">
                  <c:v>0.66485806451612894</c:v>
                </c:pt>
                <c:pt idx="20">
                  <c:v>0.65944651162790702</c:v>
                </c:pt>
                <c:pt idx="21">
                  <c:v>0.5431377049180327</c:v>
                </c:pt>
                <c:pt idx="22">
                  <c:v>0.51434517766497456</c:v>
                </c:pt>
                <c:pt idx="23">
                  <c:v>0.72235633802816901</c:v>
                </c:pt>
                <c:pt idx="24">
                  <c:v>0.73415705128205122</c:v>
                </c:pt>
                <c:pt idx="25">
                  <c:v>0.79857999999999996</c:v>
                </c:pt>
                <c:pt idx="26">
                  <c:v>0.83901748251748254</c:v>
                </c:pt>
                <c:pt idx="27">
                  <c:v>0.93012737430167591</c:v>
                </c:pt>
                <c:pt idx="28">
                  <c:v>0.96843478260869564</c:v>
                </c:pt>
                <c:pt idx="29">
                  <c:v>0.73088296703296696</c:v>
                </c:pt>
                <c:pt idx="30">
                  <c:v>0.6192670157068062</c:v>
                </c:pt>
                <c:pt idx="31">
                  <c:v>0.83635051546391759</c:v>
                </c:pt>
                <c:pt idx="32">
                  <c:v>0.86706187845303861</c:v>
                </c:pt>
                <c:pt idx="33">
                  <c:v>0.6756557894736841</c:v>
                </c:pt>
              </c:numCache>
            </c:numRef>
          </c:val>
          <c:smooth val="0"/>
          <c:extLst>
            <c:ext xmlns:c16="http://schemas.microsoft.com/office/drawing/2014/chart" uri="{C3380CC4-5D6E-409C-BE32-E72D297353CC}">
              <c16:uniqueId val="{00000000-5138-4E6B-AFA8-A41B427D51B1}"/>
            </c:ext>
          </c:extLst>
        </c:ser>
        <c:ser>
          <c:idx val="1"/>
          <c:order val="1"/>
          <c:tx>
            <c:strRef>
              <c:f>'Combined Availability'!$D$4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Availability'!$D$5:$D$38</c:f>
              <c:numCache>
                <c:formatCode>0.0%</c:formatCode>
                <c:ptCount val="34"/>
                <c:pt idx="0">
                  <c:v>0.85</c:v>
                </c:pt>
                <c:pt idx="1">
                  <c:v>0.85</c:v>
                </c:pt>
                <c:pt idx="2">
                  <c:v>0.85</c:v>
                </c:pt>
                <c:pt idx="3">
                  <c:v>0.76690000000000003</c:v>
                </c:pt>
                <c:pt idx="4">
                  <c:v>0.76690000000000003</c:v>
                </c:pt>
                <c:pt idx="5">
                  <c:v>0.76690000000000003</c:v>
                </c:pt>
                <c:pt idx="6">
                  <c:v>0.76690000000000003</c:v>
                </c:pt>
                <c:pt idx="7">
                  <c:v>0.76690000000000003</c:v>
                </c:pt>
                <c:pt idx="8">
                  <c:v>0.76690000000000003</c:v>
                </c:pt>
                <c:pt idx="9">
                  <c:v>0.69244649244372614</c:v>
                </c:pt>
                <c:pt idx="10">
                  <c:v>0.69244649244372614</c:v>
                </c:pt>
                <c:pt idx="11">
                  <c:v>0.69244649244372614</c:v>
                </c:pt>
                <c:pt idx="12">
                  <c:v>0.63959080224009912</c:v>
                </c:pt>
                <c:pt idx="13">
                  <c:v>0.63959080224009912</c:v>
                </c:pt>
                <c:pt idx="14">
                  <c:v>0.63959080224009912</c:v>
                </c:pt>
                <c:pt idx="15">
                  <c:v>0.63959080224009912</c:v>
                </c:pt>
                <c:pt idx="16">
                  <c:v>0.63959080224009912</c:v>
                </c:pt>
                <c:pt idx="17">
                  <c:v>0.63959080224009912</c:v>
                </c:pt>
                <c:pt idx="18">
                  <c:v>0.79031387158725208</c:v>
                </c:pt>
                <c:pt idx="19">
                  <c:v>0.79031387158725208</c:v>
                </c:pt>
                <c:pt idx="20">
                  <c:v>0.79031387158725208</c:v>
                </c:pt>
                <c:pt idx="21">
                  <c:v>0.79031387158725208</c:v>
                </c:pt>
                <c:pt idx="22">
                  <c:v>0.70232342803632519</c:v>
                </c:pt>
                <c:pt idx="23">
                  <c:v>0.70232342803632519</c:v>
                </c:pt>
                <c:pt idx="24">
                  <c:v>0.70232342803632519</c:v>
                </c:pt>
                <c:pt idx="25">
                  <c:v>0.70232342803632519</c:v>
                </c:pt>
                <c:pt idx="26">
                  <c:v>0.70232342803632519</c:v>
                </c:pt>
                <c:pt idx="27">
                  <c:v>0.70232342803632519</c:v>
                </c:pt>
                <c:pt idx="28">
                  <c:v>0.70232342803632519</c:v>
                </c:pt>
                <c:pt idx="29">
                  <c:v>0.70232342803632519</c:v>
                </c:pt>
                <c:pt idx="30">
                  <c:v>0.70232342803632519</c:v>
                </c:pt>
                <c:pt idx="31">
                  <c:v>0.70232342803632519</c:v>
                </c:pt>
                <c:pt idx="32">
                  <c:v>0.70232342803632519</c:v>
                </c:pt>
                <c:pt idx="33">
                  <c:v>0.70232342803632519</c:v>
                </c:pt>
              </c:numCache>
            </c:numRef>
          </c:val>
          <c:smooth val="0"/>
          <c:extLst>
            <c:ext xmlns:c16="http://schemas.microsoft.com/office/drawing/2014/chart" uri="{C3380CC4-5D6E-409C-BE32-E72D297353CC}">
              <c16:uniqueId val="{00000001-5138-4E6B-AFA8-A41B427D51B1}"/>
            </c:ext>
          </c:extLst>
        </c:ser>
        <c:ser>
          <c:idx val="2"/>
          <c:order val="2"/>
          <c:tx>
            <c:strRef>
              <c:f>'Combined Availability'!$F$4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Availability'!$F$5:$F$38</c:f>
              <c:numCache>
                <c:formatCode>0.0%</c:formatCode>
                <c:ptCount val="34"/>
                <c:pt idx="0">
                  <c:v>0.75418768346397214</c:v>
                </c:pt>
                <c:pt idx="1">
                  <c:v>0.7487797662802258</c:v>
                </c:pt>
                <c:pt idx="2">
                  <c:v>0.74341019683565479</c:v>
                </c:pt>
                <c:pt idx="3">
                  <c:v>0.64810194379580643</c:v>
                </c:pt>
                <c:pt idx="4">
                  <c:v>0.64252156421444462</c:v>
                </c:pt>
                <c:pt idx="5">
                  <c:v>0.65931434698895508</c:v>
                </c:pt>
                <c:pt idx="6">
                  <c:v>0.66119865480988427</c:v>
                </c:pt>
                <c:pt idx="7">
                  <c:v>0.67339112138179191</c:v>
                </c:pt>
                <c:pt idx="8">
                  <c:v>0.66903957004999415</c:v>
                </c:pt>
                <c:pt idx="9">
                  <c:v>0.57501967066007931</c:v>
                </c:pt>
                <c:pt idx="10">
                  <c:v>0.58718933067525214</c:v>
                </c:pt>
                <c:pt idx="11">
                  <c:v>0.57902860008033352</c:v>
                </c:pt>
                <c:pt idx="12">
                  <c:v>0.52276238353597626</c:v>
                </c:pt>
                <c:pt idx="13">
                  <c:v>0.53101977209242213</c:v>
                </c:pt>
                <c:pt idx="14">
                  <c:v>0.52879407297788095</c:v>
                </c:pt>
                <c:pt idx="15">
                  <c:v>0.51997562411862353</c:v>
                </c:pt>
                <c:pt idx="16">
                  <c:v>0.51914205878551578</c:v>
                </c:pt>
                <c:pt idx="17">
                  <c:v>0.52426991016149227</c:v>
                </c:pt>
                <c:pt idx="18">
                  <c:v>0.69315614051652719</c:v>
                </c:pt>
                <c:pt idx="19">
                  <c:v>0.68064204794683658</c:v>
                </c:pt>
                <c:pt idx="20">
                  <c:v>0.69719414671164881</c:v>
                </c:pt>
                <c:pt idx="21">
                  <c:v>0.70003619721515831</c:v>
                </c:pt>
                <c:pt idx="22">
                  <c:v>0.60459316955728992</c:v>
                </c:pt>
                <c:pt idx="23">
                  <c:v>0.58721212017018809</c:v>
                </c:pt>
                <c:pt idx="24">
                  <c:v>0.59249876958522085</c:v>
                </c:pt>
                <c:pt idx="25">
                  <c:v>0.59388026682362272</c:v>
                </c:pt>
                <c:pt idx="26">
                  <c:v>0.58761531338050499</c:v>
                </c:pt>
                <c:pt idx="27">
                  <c:v>0.5997970429813031</c:v>
                </c:pt>
                <c:pt idx="28">
                  <c:v>0.60119965878470061</c:v>
                </c:pt>
                <c:pt idx="29">
                  <c:v>0.60064555179163737</c:v>
                </c:pt>
                <c:pt idx="30">
                  <c:v>0.60307000881953754</c:v>
                </c:pt>
                <c:pt idx="31">
                  <c:v>0.60384042217046741</c:v>
                </c:pt>
                <c:pt idx="32">
                  <c:v>0.60036506056564887</c:v>
                </c:pt>
                <c:pt idx="33">
                  <c:v>0.60280915838490201</c:v>
                </c:pt>
              </c:numCache>
            </c:numRef>
          </c:val>
          <c:smooth val="0"/>
          <c:extLst>
            <c:ext xmlns:c16="http://schemas.microsoft.com/office/drawing/2014/chart" uri="{C3380CC4-5D6E-409C-BE32-E72D297353CC}">
              <c16:uniqueId val="{00000002-5138-4E6B-AFA8-A41B427D51B1}"/>
            </c:ext>
          </c:extLst>
        </c:ser>
        <c:ser>
          <c:idx val="3"/>
          <c:order val="3"/>
          <c:tx>
            <c:strRef>
              <c:f>'Combined Availability'!$G$4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'Combined Availability'!$A$5:$A$38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'Combined Availability'!$G$5:$G$38</c:f>
              <c:numCache>
                <c:formatCode>0%</c:formatCode>
                <c:ptCount val="3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pt idx="33">
                  <c:v>0.9</c:v>
                </c:pt>
              </c:numCache>
            </c:numRef>
          </c:val>
          <c:smooth val="0"/>
          <c:extLst>
            <c:ext xmlns:c16="http://schemas.microsoft.com/office/drawing/2014/chart" uri="{C3380CC4-5D6E-409C-BE32-E72D297353CC}">
              <c16:uniqueId val="{00000003-5138-4E6B-AFA8-A41B427D51B1}"/>
            </c:ext>
          </c:extLst>
        </c:ser>
        <c:dLbls>
          <c:showLegendKey val="0"/>
          <c:showVal val="0"/>
          <c:showCatName val="0"/>
          <c:showSerName val="0"/>
          <c:showPercent val="0"/>
          <c:showBubbleSize val="0"/>
        </c:dLbls>
        <c:hiLowLines>
          <c:spPr>
            <a:ln w="0">
              <a:noFill/>
            </a:ln>
          </c:spPr>
        </c:hiLowLines>
        <c:marker val="1"/>
        <c:smooth val="0"/>
        <c:axId val="88814250"/>
        <c:axId val="86285279"/>
      </c:lineChart>
      <c:dateAx>
        <c:axId val="8881425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285279"/>
        <c:crosses val="autoZero"/>
        <c:auto val="1"/>
        <c:lblOffset val="100"/>
        <c:baseTimeUnit val="days"/>
      </c:dateAx>
      <c:valAx>
        <c:axId val="86285279"/>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Availability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8142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BLR City — Overall Arrival On-Time % vs Target (95%)</a:t>
            </a:r>
          </a:p>
        </c:rich>
      </c:tx>
      <c:overlay val="0"/>
      <c:spPr>
        <a:noFill/>
        <a:ln w="0">
          <a:noFill/>
        </a:ln>
      </c:spPr>
    </c:title>
    <c:autoTitleDeleted val="0"/>
    <c:plotArea>
      <c:layout/>
      <c:lineChart>
        <c:grouping val="standard"/>
        <c:varyColors val="0"/>
        <c:ser>
          <c:idx val="0"/>
          <c:order val="0"/>
          <c:tx>
            <c:strRef>
              <c:f>'BLR City Arrival OT'!$C$4</c:f>
              <c:strCache>
                <c:ptCount val="1"/>
                <c:pt idx="0">
                  <c:v>BLR City Arrival OT %</c:v>
                </c:pt>
              </c:strCache>
            </c:strRef>
          </c:tx>
          <c:spPr>
            <a:ln w="18000">
              <a:solidFill>
                <a:srgbClr val="1E6B55"/>
              </a:solidFill>
              <a:round/>
            </a:ln>
          </c:spPr>
          <c:marker>
            <c:symbol val="circle"/>
            <c:size val="5"/>
            <c:spPr>
              <a:solidFill>
                <a:srgbClr val="1E6B5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'BLR City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'BLR City Arrival OT'!$C$5:$C$38</c:f>
              <c:numCache>
                <c:formatCode>0.0%</c:formatCode>
                <c:ptCount val="34"/>
                <c:pt idx="0">
                  <c:v>0.94899999999999995</c:v>
                </c:pt>
                <c:pt idx="1">
                  <c:v>0.94510000000000005</c:v>
                </c:pt>
                <c:pt idx="2">
                  <c:v>0.94640000000000002</c:v>
                </c:pt>
                <c:pt idx="3">
                  <c:v>0.94189999999999996</c:v>
                </c:pt>
                <c:pt idx="4">
                  <c:v>0.9446</c:v>
                </c:pt>
                <c:pt idx="5">
                  <c:v>0.95599999999999996</c:v>
                </c:pt>
                <c:pt idx="6">
                  <c:v>0.9516</c:v>
                </c:pt>
                <c:pt idx="7">
                  <c:v>0.95309999999999995</c:v>
                </c:pt>
                <c:pt idx="8">
                  <c:v>0.94179999999999997</c:v>
                </c:pt>
                <c:pt idx="9">
                  <c:v>0.95720000000000005</c:v>
                </c:pt>
                <c:pt idx="10">
                  <c:v>0.9546</c:v>
                </c:pt>
                <c:pt idx="11">
                  <c:v>0.94259999999999999</c:v>
                </c:pt>
                <c:pt idx="12">
                  <c:v>0.95450000000000002</c:v>
                </c:pt>
                <c:pt idx="13">
                  <c:v>0.94230000000000003</c:v>
                </c:pt>
                <c:pt idx="14">
                  <c:v>0.94820000000000004</c:v>
                </c:pt>
                <c:pt idx="15">
                  <c:v>0.93679999999999997</c:v>
                </c:pt>
                <c:pt idx="16">
                  <c:v>0.95020000000000004</c:v>
                </c:pt>
                <c:pt idx="17">
                  <c:v>0.9607</c:v>
                </c:pt>
                <c:pt idx="18">
                  <c:v>0.93899999999999995</c:v>
                </c:pt>
                <c:pt idx="19">
                  <c:v>0.93289999999999995</c:v>
                </c:pt>
                <c:pt idx="20">
                  <c:v>0.94530000000000003</c:v>
                </c:pt>
                <c:pt idx="21">
                  <c:v>0.95199999999999996</c:v>
                </c:pt>
                <c:pt idx="22">
                  <c:v>0.95179999999999998</c:v>
                </c:pt>
                <c:pt idx="23">
                  <c:v>0.93799999999999994</c:v>
                </c:pt>
                <c:pt idx="24">
                  <c:v>0.93889999999999996</c:v>
                </c:pt>
                <c:pt idx="25">
                  <c:v>0.95840000000000003</c:v>
                </c:pt>
                <c:pt idx="26">
                  <c:v>0.95050000000000001</c:v>
                </c:pt>
                <c:pt idx="27">
                  <c:v>0.95220000000000005</c:v>
                </c:pt>
                <c:pt idx="28">
                  <c:v>0.95530000000000004</c:v>
                </c:pt>
                <c:pt idx="29">
                  <c:v>0.95809999999999995</c:v>
                </c:pt>
                <c:pt idx="30">
                  <c:v>0.95109999999999995</c:v>
                </c:pt>
                <c:pt idx="31">
                  <c:v>0.94820000000000004</c:v>
                </c:pt>
                <c:pt idx="32">
                  <c:v>0.94340000000000002</c:v>
                </c:pt>
                <c:pt idx="33">
                  <c:v>0.94850000000000001</c:v>
                </c:pt>
              </c:numCache>
            </c:numRef>
          </c:val>
          <c:smooth val="0"/>
          <c:extLst>
            <c:ext xmlns:c16="http://schemas.microsoft.com/office/drawing/2014/chart" uri="{C3380CC4-5D6E-409C-BE32-E72D297353CC}">
              <c16:uniqueId val="{00000000-D57A-4666-8DF8-675E0EF182F9}"/>
            </c:ext>
          </c:extLst>
        </c:ser>
        <c:ser>
          <c:idx val="1"/>
          <c:order val="1"/>
          <c:tx>
            <c:strRef>
              <c:f>'BLR City Arrival OT'!$D$4</c:f>
              <c:strCache>
                <c:ptCount val="1"/>
                <c:pt idx="0">
                  <c:v>p-bar (CL)</c:v>
                </c:pt>
              </c:strCache>
            </c:strRef>
          </c:tx>
          <c:spPr>
            <a:ln w="14040">
              <a:solidFill>
                <a:srgbClr val="F7941D"/>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'BLR City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'BLR City Arrival OT'!$D$5:$D$38</c:f>
              <c:numCache>
                <c:formatCode>0.0%</c:formatCode>
                <c:ptCount val="34"/>
                <c:pt idx="0">
                  <c:v>0.9</c:v>
                </c:pt>
                <c:pt idx="1">
                  <c:v>0.9</c:v>
                </c:pt>
                <c:pt idx="2">
                  <c:v>0.9</c:v>
                </c:pt>
                <c:pt idx="3">
                  <c:v>0.9</c:v>
                </c:pt>
                <c:pt idx="4">
                  <c:v>0.9</c:v>
                </c:pt>
                <c:pt idx="5">
                  <c:v>0.9</c:v>
                </c:pt>
                <c:pt idx="6">
                  <c:v>0.9</c:v>
                </c:pt>
                <c:pt idx="7">
                  <c:v>0.9</c:v>
                </c:pt>
                <c:pt idx="8">
                  <c:v>0.9</c:v>
                </c:pt>
                <c:pt idx="9">
                  <c:v>0.9</c:v>
                </c:pt>
                <c:pt idx="10">
                  <c:v>0.94867000000000012</c:v>
                </c:pt>
                <c:pt idx="11">
                  <c:v>0.94867000000000012</c:v>
                </c:pt>
                <c:pt idx="12">
                  <c:v>0.94867000000000012</c:v>
                </c:pt>
                <c:pt idx="13">
                  <c:v>0.94867000000000012</c:v>
                </c:pt>
                <c:pt idx="14">
                  <c:v>0.94867000000000012</c:v>
                </c:pt>
                <c:pt idx="15">
                  <c:v>0.94867000000000012</c:v>
                </c:pt>
                <c:pt idx="16">
                  <c:v>0.94650000000000001</c:v>
                </c:pt>
                <c:pt idx="17">
                  <c:v>0.94650000000000001</c:v>
                </c:pt>
                <c:pt idx="18">
                  <c:v>0.94650000000000001</c:v>
                </c:pt>
                <c:pt idx="19">
                  <c:v>0.94650000000000001</c:v>
                </c:pt>
                <c:pt idx="20">
                  <c:v>0.94650000000000001</c:v>
                </c:pt>
                <c:pt idx="21">
                  <c:v>0.94414999999999993</c:v>
                </c:pt>
                <c:pt idx="22">
                  <c:v>0.94414999999999993</c:v>
                </c:pt>
                <c:pt idx="23">
                  <c:v>0.94414999999999993</c:v>
                </c:pt>
                <c:pt idx="24">
                  <c:v>0.94414999999999993</c:v>
                </c:pt>
                <c:pt idx="25">
                  <c:v>0.94414999999999993</c:v>
                </c:pt>
                <c:pt idx="26">
                  <c:v>0.94414999999999993</c:v>
                </c:pt>
                <c:pt idx="27">
                  <c:v>0.94414999999999993</c:v>
                </c:pt>
                <c:pt idx="28">
                  <c:v>0.94414999999999993</c:v>
                </c:pt>
                <c:pt idx="29">
                  <c:v>0.94414999999999993</c:v>
                </c:pt>
                <c:pt idx="30">
                  <c:v>0.94414999999999993</c:v>
                </c:pt>
                <c:pt idx="31">
                  <c:v>0.94414999999999993</c:v>
                </c:pt>
                <c:pt idx="32">
                  <c:v>0.94414999999999993</c:v>
                </c:pt>
                <c:pt idx="33">
                  <c:v>0.94414999999999993</c:v>
                </c:pt>
              </c:numCache>
            </c:numRef>
          </c:val>
          <c:smooth val="0"/>
          <c:extLst>
            <c:ext xmlns:c16="http://schemas.microsoft.com/office/drawing/2014/chart" uri="{C3380CC4-5D6E-409C-BE32-E72D297353CC}">
              <c16:uniqueId val="{00000001-D57A-4666-8DF8-675E0EF182F9}"/>
            </c:ext>
          </c:extLst>
        </c:ser>
        <c:ser>
          <c:idx val="2"/>
          <c:order val="2"/>
          <c:tx>
            <c:strRef>
              <c:f>'BLR City Arrival OT'!$F$4</c:f>
              <c:strCache>
                <c:ptCount val="1"/>
                <c:pt idx="0">
                  <c:v>LCL</c:v>
                </c:pt>
              </c:strCache>
            </c:strRef>
          </c:tx>
          <c:spPr>
            <a:ln w="140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'BLR City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'BLR City Arrival OT'!$F$5:$F$38</c:f>
              <c:numCache>
                <c:formatCode>0.0%</c:formatCode>
                <c:ptCount val="34"/>
                <c:pt idx="0">
                  <c:v>0.75</c:v>
                </c:pt>
                <c:pt idx="1">
                  <c:v>0.75</c:v>
                </c:pt>
                <c:pt idx="2">
                  <c:v>0.75</c:v>
                </c:pt>
                <c:pt idx="3">
                  <c:v>0.75</c:v>
                </c:pt>
                <c:pt idx="4">
                  <c:v>0.75</c:v>
                </c:pt>
                <c:pt idx="5">
                  <c:v>0.75</c:v>
                </c:pt>
                <c:pt idx="6">
                  <c:v>0.75</c:v>
                </c:pt>
                <c:pt idx="7">
                  <c:v>0.75</c:v>
                </c:pt>
                <c:pt idx="8">
                  <c:v>0.75</c:v>
                </c:pt>
                <c:pt idx="9">
                  <c:v>0.75</c:v>
                </c:pt>
                <c:pt idx="10">
                  <c:v>0.93186818462189291</c:v>
                </c:pt>
                <c:pt idx="11">
                  <c:v>0.93186818462189291</c:v>
                </c:pt>
                <c:pt idx="12">
                  <c:v>0.93186818462189291</c:v>
                </c:pt>
                <c:pt idx="13">
                  <c:v>0.93186818462189291</c:v>
                </c:pt>
                <c:pt idx="14">
                  <c:v>0.93186818462189291</c:v>
                </c:pt>
                <c:pt idx="15">
                  <c:v>0.93186818462189291</c:v>
                </c:pt>
                <c:pt idx="16">
                  <c:v>0.92489000231374374</c:v>
                </c:pt>
                <c:pt idx="17">
                  <c:v>0.92489000231374374</c:v>
                </c:pt>
                <c:pt idx="18">
                  <c:v>0.92489000231374374</c:v>
                </c:pt>
                <c:pt idx="19">
                  <c:v>0.92489000231374374</c:v>
                </c:pt>
                <c:pt idx="20">
                  <c:v>0.92489000231374374</c:v>
                </c:pt>
                <c:pt idx="21">
                  <c:v>0.91358722852881291</c:v>
                </c:pt>
                <c:pt idx="22">
                  <c:v>0.91358722852881291</c:v>
                </c:pt>
                <c:pt idx="23">
                  <c:v>0.91358722852881291</c:v>
                </c:pt>
                <c:pt idx="24">
                  <c:v>0.91358722852881291</c:v>
                </c:pt>
                <c:pt idx="25">
                  <c:v>0.91358722852881291</c:v>
                </c:pt>
                <c:pt idx="26">
                  <c:v>0.91358722852881291</c:v>
                </c:pt>
                <c:pt idx="27">
                  <c:v>0.91358722852881291</c:v>
                </c:pt>
                <c:pt idx="28">
                  <c:v>0.91358722852881291</c:v>
                </c:pt>
                <c:pt idx="29">
                  <c:v>0.91358722852881291</c:v>
                </c:pt>
                <c:pt idx="30">
                  <c:v>0.91358722852881291</c:v>
                </c:pt>
                <c:pt idx="31">
                  <c:v>0.91358722852881291</c:v>
                </c:pt>
                <c:pt idx="32">
                  <c:v>0.91358722852881291</c:v>
                </c:pt>
                <c:pt idx="33">
                  <c:v>0.91358722852881291</c:v>
                </c:pt>
              </c:numCache>
            </c:numRef>
          </c:val>
          <c:smooth val="0"/>
          <c:extLst>
            <c:ext xmlns:c16="http://schemas.microsoft.com/office/drawing/2014/chart" uri="{C3380CC4-5D6E-409C-BE32-E72D297353CC}">
              <c16:uniqueId val="{00000002-D57A-4666-8DF8-675E0EF182F9}"/>
            </c:ext>
          </c:extLst>
        </c:ser>
        <c:ser>
          <c:idx val="3"/>
          <c:order val="3"/>
          <c:tx>
            <c:strRef>
              <c:f>'BLR City Arrival OT'!$G$4</c:f>
              <c:strCache>
                <c:ptCount val="1"/>
                <c:pt idx="0">
                  <c:v>Target</c:v>
                </c:pt>
              </c:strCache>
            </c:strRef>
          </c:tx>
          <c:spPr>
            <a:ln w="14040">
              <a:solidFill>
                <a:srgbClr val="17A578"/>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'BLR City Arrival OT'!$A$5:$A$38</c:f>
              <c:numCache>
                <c:formatCode>dd\-mmm\-yy</c:formatCode>
                <c:ptCount val="34"/>
                <c:pt idx="0">
                  <c:v>46186</c:v>
                </c:pt>
                <c:pt idx="1">
                  <c:v>46187</c:v>
                </c:pt>
                <c:pt idx="2">
                  <c:v>46188</c:v>
                </c:pt>
                <c:pt idx="3">
                  <c:v>46189</c:v>
                </c:pt>
                <c:pt idx="4">
                  <c:v>46190</c:v>
                </c:pt>
                <c:pt idx="5">
                  <c:v>46191</c:v>
                </c:pt>
                <c:pt idx="6">
                  <c:v>46192</c:v>
                </c:pt>
                <c:pt idx="7">
                  <c:v>46193</c:v>
                </c:pt>
                <c:pt idx="8">
                  <c:v>46194</c:v>
                </c:pt>
                <c:pt idx="9">
                  <c:v>46195</c:v>
                </c:pt>
                <c:pt idx="10">
                  <c:v>46196</c:v>
                </c:pt>
                <c:pt idx="11">
                  <c:v>46197</c:v>
                </c:pt>
                <c:pt idx="12">
                  <c:v>46198</c:v>
                </c:pt>
                <c:pt idx="13">
                  <c:v>46199</c:v>
                </c:pt>
                <c:pt idx="14">
                  <c:v>46200</c:v>
                </c:pt>
                <c:pt idx="15">
                  <c:v>46201</c:v>
                </c:pt>
                <c:pt idx="16">
                  <c:v>46202</c:v>
                </c:pt>
                <c:pt idx="17">
                  <c:v>46203</c:v>
                </c:pt>
                <c:pt idx="18">
                  <c:v>46204</c:v>
                </c:pt>
                <c:pt idx="19">
                  <c:v>46205</c:v>
                </c:pt>
                <c:pt idx="20">
                  <c:v>46206</c:v>
                </c:pt>
                <c:pt idx="21">
                  <c:v>46207</c:v>
                </c:pt>
                <c:pt idx="22">
                  <c:v>46208</c:v>
                </c:pt>
                <c:pt idx="23">
                  <c:v>46209</c:v>
                </c:pt>
                <c:pt idx="24">
                  <c:v>46210</c:v>
                </c:pt>
                <c:pt idx="25">
                  <c:v>46211</c:v>
                </c:pt>
                <c:pt idx="26">
                  <c:v>46212</c:v>
                </c:pt>
                <c:pt idx="27">
                  <c:v>46213</c:v>
                </c:pt>
                <c:pt idx="28">
                  <c:v>46214</c:v>
                </c:pt>
                <c:pt idx="29">
                  <c:v>46215</c:v>
                </c:pt>
                <c:pt idx="30">
                  <c:v>46216</c:v>
                </c:pt>
                <c:pt idx="31">
                  <c:v>46217</c:v>
                </c:pt>
                <c:pt idx="32">
                  <c:v>46218</c:v>
                </c:pt>
                <c:pt idx="33">
                  <c:v>46219</c:v>
                </c:pt>
              </c:numCache>
            </c:numRef>
          </c:cat>
          <c:val>
            <c:numRef>
              <c:f>'BLR City Arrival OT'!$G$5:$G$38</c:f>
              <c:numCache>
                <c:formatCode>0%</c:formatCode>
                <c:ptCount val="34"/>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numCache>
            </c:numRef>
          </c:val>
          <c:smooth val="0"/>
          <c:extLst>
            <c:ext xmlns:c16="http://schemas.microsoft.com/office/drawing/2014/chart" uri="{C3380CC4-5D6E-409C-BE32-E72D297353CC}">
              <c16:uniqueId val="{00000003-D57A-4666-8DF8-675E0EF182F9}"/>
            </c:ext>
          </c:extLst>
        </c:ser>
        <c:dLbls>
          <c:showLegendKey val="0"/>
          <c:showVal val="0"/>
          <c:showCatName val="0"/>
          <c:showSerName val="0"/>
          <c:showPercent val="0"/>
          <c:showBubbleSize val="0"/>
        </c:dLbls>
        <c:hiLowLines>
          <c:spPr>
            <a:ln w="0">
              <a:noFill/>
            </a:ln>
          </c:spPr>
        </c:hiLowLines>
        <c:marker val="1"/>
        <c:smooth val="0"/>
        <c:axId val="94132517"/>
        <c:axId val="7469208"/>
      </c:lineChart>
      <c:dateAx>
        <c:axId val="9413251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469208"/>
        <c:crosses val="autoZero"/>
        <c:auto val="1"/>
        <c:lblOffset val="100"/>
        <c:baseTimeUnit val="days"/>
      </c:dateAx>
      <c:valAx>
        <c:axId val="7469208"/>
        <c:scaling>
          <c:orientation val="minMax"/>
          <c:max val="1"/>
          <c:min val="0.8"/>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On-time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41325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160920</xdr:rowOff>
    </xdr:from>
    <xdr:to>
      <xdr:col>15</xdr:col>
      <xdr:colOff>187200</xdr:colOff>
      <xdr:row>20</xdr:row>
      <xdr:rowOff>162000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471715</xdr:colOff>
      <xdr:row>3</xdr:row>
      <xdr:rowOff>160920</xdr:rowOff>
    </xdr:from>
    <xdr:to>
      <xdr:col>25</xdr:col>
      <xdr:colOff>186840</xdr:colOff>
      <xdr:row>20</xdr:row>
      <xdr:rowOff>162000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160560</xdr:rowOff>
    </xdr:from>
    <xdr:to>
      <xdr:col>15</xdr:col>
      <xdr:colOff>187200</xdr:colOff>
      <xdr:row>40</xdr:row>
      <xdr:rowOff>161640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181429</xdr:colOff>
      <xdr:row>23</xdr:row>
      <xdr:rowOff>160560</xdr:rowOff>
    </xdr:from>
    <xdr:to>
      <xdr:col>25</xdr:col>
      <xdr:colOff>186840</xdr:colOff>
      <xdr:row>40</xdr:row>
      <xdr:rowOff>161640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43</xdr:row>
      <xdr:rowOff>160560</xdr:rowOff>
    </xdr:from>
    <xdr:to>
      <xdr:col>15</xdr:col>
      <xdr:colOff>187200</xdr:colOff>
      <xdr:row>60</xdr:row>
      <xdr:rowOff>161640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181429</xdr:colOff>
      <xdr:row>43</xdr:row>
      <xdr:rowOff>160560</xdr:rowOff>
    </xdr:from>
    <xdr:to>
      <xdr:col>25</xdr:col>
      <xdr:colOff>186840</xdr:colOff>
      <xdr:row>60</xdr:row>
      <xdr:rowOff>161640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63</xdr:row>
      <xdr:rowOff>160920</xdr:rowOff>
    </xdr:from>
    <xdr:to>
      <xdr:col>15</xdr:col>
      <xdr:colOff>187200</xdr:colOff>
      <xdr:row>80</xdr:row>
      <xdr:rowOff>162000</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zoomScaleNormal="100" workbookViewId="0">
      <selection activeCell="E7" sqref="E7"/>
    </sheetView>
  </sheetViews>
  <sheetFormatPr defaultColWidth="8.6328125" defaultRowHeight="14.5" x14ac:dyDescent="0.35"/>
  <cols>
    <col min="1" max="1" width="13" customWidth="1"/>
    <col min="2" max="2" width="20" customWidth="1"/>
    <col min="3" max="3" width="10" customWidth="1"/>
    <col min="4" max="4" width="17" customWidth="1"/>
    <col min="5" max="5" width="20" customWidth="1"/>
    <col min="6" max="6" width="18" customWidth="1"/>
    <col min="7" max="7" width="20" customWidth="1"/>
  </cols>
  <sheetData>
    <row r="1" spans="1:7" ht="19" x14ac:dyDescent="0.4">
      <c r="A1" s="62" t="s">
        <v>0</v>
      </c>
      <c r="B1" s="62"/>
      <c r="C1" s="62"/>
      <c r="D1" s="62"/>
      <c r="E1" s="62"/>
      <c r="F1" s="62"/>
      <c r="G1" s="62"/>
    </row>
    <row r="2" spans="1:7" x14ac:dyDescent="0.35">
      <c r="A2" s="63" t="s">
        <v>1</v>
      </c>
      <c r="B2" s="63"/>
      <c r="C2" s="63"/>
      <c r="D2" s="63"/>
      <c r="E2" s="63"/>
      <c r="F2" s="63"/>
      <c r="G2" s="63"/>
    </row>
    <row r="4" spans="1:7" x14ac:dyDescent="0.35">
      <c r="A4" s="3" t="s">
        <v>2</v>
      </c>
      <c r="B4" s="3" t="s">
        <v>3</v>
      </c>
      <c r="C4" s="3" t="s">
        <v>4</v>
      </c>
      <c r="D4" s="3" t="s">
        <v>5</v>
      </c>
      <c r="E4" s="3" t="s">
        <v>6</v>
      </c>
      <c r="F4" s="3" t="s">
        <v>7</v>
      </c>
      <c r="G4" s="3" t="s">
        <v>8</v>
      </c>
    </row>
    <row r="5" spans="1:7" x14ac:dyDescent="0.35">
      <c r="A5" s="4" t="s">
        <v>9</v>
      </c>
      <c r="B5" s="5" t="s">
        <v>10</v>
      </c>
      <c r="C5" s="6">
        <f>'HSR Arrival OT'!S5</f>
        <v>0.95</v>
      </c>
      <c r="D5" s="7">
        <f>'HSR Arrival OT'!S9</f>
        <v>0.90215234495937235</v>
      </c>
      <c r="E5" s="7">
        <f ca="1">'HSR Arrival OT'!S11</f>
        <v>0.91994261813613876</v>
      </c>
      <c r="F5" s="5" t="str">
        <f>'HSR Arrival OT'!S8</f>
        <v>8/34</v>
      </c>
      <c r="G5" s="8">
        <f ca="1">'HSR Arrival OT'!S7</f>
        <v>3</v>
      </c>
    </row>
    <row r="6" spans="1:7" x14ac:dyDescent="0.35">
      <c r="A6" s="4" t="s">
        <v>9</v>
      </c>
      <c r="B6" s="5" t="s">
        <v>11</v>
      </c>
      <c r="C6" s="6">
        <f>'HSR Availability'!S5</f>
        <v>0.9</v>
      </c>
      <c r="D6" s="7">
        <f>'HSR Availability'!S9</f>
        <v>0.77230588235294118</v>
      </c>
      <c r="E6" s="7">
        <f ca="1">'HSR Availability'!S11</f>
        <v>0.7630499999999999</v>
      </c>
      <c r="F6" s="5" t="str">
        <f>'HSR Availability'!S8</f>
        <v>10/34</v>
      </c>
      <c r="G6" s="8">
        <f ca="1">'HSR Availability'!S7</f>
        <v>5</v>
      </c>
    </row>
    <row r="7" spans="1:7" x14ac:dyDescent="0.35">
      <c r="A7" s="9" t="s">
        <v>12</v>
      </c>
      <c r="B7" s="10" t="s">
        <v>10</v>
      </c>
      <c r="C7" s="11">
        <f>'Central Arrival OT'!S5</f>
        <v>0.95</v>
      </c>
      <c r="D7" s="12">
        <f>'Central Arrival OT'!S9</f>
        <v>0.83309979734906103</v>
      </c>
      <c r="E7" s="12">
        <f ca="1">'Central Arrival OT'!S11</f>
        <v>0.79893933800910499</v>
      </c>
      <c r="F7" s="10" t="str">
        <f>'Central Arrival OT'!S8</f>
        <v>5/29</v>
      </c>
      <c r="G7" s="13">
        <f ca="1">'Central Arrival OT'!S7</f>
        <v>3</v>
      </c>
    </row>
    <row r="8" spans="1:7" x14ac:dyDescent="0.35">
      <c r="A8" s="9" t="s">
        <v>12</v>
      </c>
      <c r="B8" s="10" t="s">
        <v>11</v>
      </c>
      <c r="C8" s="11">
        <f>'Central Availability'!S5</f>
        <v>0.9</v>
      </c>
      <c r="D8" s="12">
        <f>'Central Availability'!S9</f>
        <v>0.59921034482758617</v>
      </c>
      <c r="E8" s="12">
        <f ca="1">'Central Availability'!S11</f>
        <v>0.45533333333333331</v>
      </c>
      <c r="F8" s="10" t="str">
        <f>'Central Availability'!S8</f>
        <v>5/29</v>
      </c>
      <c r="G8" s="13">
        <f ca="1">'Central Availability'!S7</f>
        <v>3</v>
      </c>
    </row>
    <row r="9" spans="1:7" x14ac:dyDescent="0.35">
      <c r="A9" s="4" t="s">
        <v>13</v>
      </c>
      <c r="B9" s="5" t="s">
        <v>10</v>
      </c>
      <c r="C9" s="6">
        <f>'Combined Arrival OT'!S5</f>
        <v>0.95</v>
      </c>
      <c r="D9" s="7">
        <f>'Combined Arrival OT'!S9</f>
        <v>0.88543673609819495</v>
      </c>
      <c r="E9" s="7">
        <f ca="1">'Combined Arrival OT'!S11</f>
        <v>0.89810153291512351</v>
      </c>
      <c r="F9" s="5" t="str">
        <f>'Combined Arrival OT'!S8</f>
        <v>3/34</v>
      </c>
      <c r="G9" s="8">
        <f ca="1">'Combined Arrival OT'!S7</f>
        <v>3</v>
      </c>
    </row>
    <row r="10" spans="1:7" x14ac:dyDescent="0.35">
      <c r="A10" s="4" t="s">
        <v>13</v>
      </c>
      <c r="B10" s="5" t="s">
        <v>11</v>
      </c>
      <c r="C10" s="6">
        <f>'Combined Availability'!S5</f>
        <v>0.9</v>
      </c>
      <c r="D10" s="7">
        <f>'Combined Availability'!S9</f>
        <v>0.72929045928240066</v>
      </c>
      <c r="E10" s="7">
        <f ca="1">'Combined Availability'!S11</f>
        <v>0.70232342803632519</v>
      </c>
      <c r="F10" s="5" t="str">
        <f>'Combined Availability'!S8</f>
        <v>4/34</v>
      </c>
      <c r="G10" s="8">
        <f ca="1">'Combined Availability'!S7</f>
        <v>5</v>
      </c>
    </row>
    <row r="11" spans="1:7" x14ac:dyDescent="0.35">
      <c r="A11" s="14" t="s">
        <v>14</v>
      </c>
      <c r="B11" s="15" t="s">
        <v>15</v>
      </c>
      <c r="C11" s="16">
        <f>'BLR City Arrival OT'!S5</f>
        <v>0.95</v>
      </c>
      <c r="D11" s="17">
        <f>'BLR City Arrival OT'!S9</f>
        <v>0.94824117647058825</v>
      </c>
      <c r="E11" s="17">
        <f ca="1">'BLR City Arrival OT'!S11</f>
        <v>0.94414999999999993</v>
      </c>
      <c r="F11" s="15" t="str">
        <f>'BLR City Arrival OT'!S8</f>
        <v>16/34</v>
      </c>
      <c r="G11" s="18">
        <f ca="1">'BLR City Arrival OT'!S7</f>
        <v>3</v>
      </c>
    </row>
    <row r="13" spans="1:7" x14ac:dyDescent="0.35">
      <c r="A13" s="1" t="s">
        <v>16</v>
      </c>
    </row>
    <row r="14" spans="1:7" ht="15" customHeight="1" x14ac:dyDescent="0.35">
      <c r="A14" s="64" t="s">
        <v>17</v>
      </c>
      <c r="B14" s="64"/>
      <c r="C14" s="64"/>
      <c r="D14" s="64"/>
      <c r="E14" s="64"/>
      <c r="F14" s="64"/>
      <c r="G14" s="64"/>
    </row>
    <row r="15" spans="1:7" x14ac:dyDescent="0.35">
      <c r="A15" s="64"/>
      <c r="B15" s="64"/>
      <c r="C15" s="64"/>
      <c r="D15" s="64"/>
      <c r="E15" s="64"/>
      <c r="F15" s="64"/>
      <c r="G15" s="64"/>
    </row>
    <row r="16" spans="1:7" x14ac:dyDescent="0.35">
      <c r="A16" s="64"/>
      <c r="B16" s="64"/>
      <c r="C16" s="64"/>
      <c r="D16" s="64"/>
      <c r="E16" s="64"/>
      <c r="F16" s="64"/>
      <c r="G16" s="64"/>
    </row>
    <row r="17" spans="1:7" x14ac:dyDescent="0.35">
      <c r="A17" s="64"/>
      <c r="B17" s="64"/>
      <c r="C17" s="64"/>
      <c r="D17" s="64"/>
      <c r="E17" s="64"/>
      <c r="F17" s="64"/>
      <c r="G17" s="64"/>
    </row>
    <row r="18" spans="1:7" x14ac:dyDescent="0.35">
      <c r="A18" s="64"/>
      <c r="B18" s="64"/>
      <c r="C18" s="64"/>
      <c r="D18" s="64"/>
      <c r="E18" s="64"/>
      <c r="F18" s="64"/>
      <c r="G18" s="64"/>
    </row>
  </sheetData>
  <mergeCells count="3">
    <mergeCell ref="A1:G1"/>
    <mergeCell ref="A2:G2"/>
    <mergeCell ref="A14:G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9"/>
  <sheetViews>
    <sheetView showGridLines="0" tabSelected="1" zoomScaleNormal="100" workbookViewId="0">
      <pane xSplit="2" ySplit="2" topLeftCell="C3" activePane="bottomRight" state="frozen"/>
      <selection pane="topRight"/>
      <selection pane="bottomLeft"/>
      <selection pane="bottomRight" activeCell="G3" sqref="G3"/>
    </sheetView>
  </sheetViews>
  <sheetFormatPr defaultColWidth="13" defaultRowHeight="14.5" x14ac:dyDescent="0.35"/>
  <cols>
    <col min="1" max="16384" width="13" style="19"/>
  </cols>
  <sheetData>
    <row r="1" spans="1:17" ht="14.25" customHeight="1" x14ac:dyDescent="0.35">
      <c r="A1" s="20" t="s">
        <v>18</v>
      </c>
      <c r="I1" s="61" t="s">
        <v>19</v>
      </c>
      <c r="J1" s="61"/>
      <c r="K1" s="61"/>
      <c r="L1" s="61"/>
      <c r="N1" s="61" t="s">
        <v>12</v>
      </c>
      <c r="O1" s="61"/>
      <c r="P1" s="61"/>
      <c r="Q1" s="61"/>
    </row>
    <row r="2" spans="1:17" ht="25.5" customHeight="1" x14ac:dyDescent="0.35">
      <c r="A2" s="21" t="s">
        <v>20</v>
      </c>
      <c r="B2" s="21" t="s">
        <v>21</v>
      </c>
      <c r="C2" s="22" t="s">
        <v>22</v>
      </c>
      <c r="D2" s="22" t="s">
        <v>23</v>
      </c>
      <c r="E2" s="22" t="s">
        <v>24</v>
      </c>
      <c r="F2" s="23" t="s">
        <v>25</v>
      </c>
      <c r="G2" s="24" t="s">
        <v>26</v>
      </c>
      <c r="I2" s="25" t="s">
        <v>20</v>
      </c>
      <c r="J2" s="25" t="s">
        <v>27</v>
      </c>
      <c r="K2" s="25" t="s">
        <v>28</v>
      </c>
      <c r="L2" s="25" t="s">
        <v>11</v>
      </c>
      <c r="N2" s="25" t="s">
        <v>20</v>
      </c>
      <c r="O2" s="25" t="s">
        <v>27</v>
      </c>
      <c r="P2" s="25" t="s">
        <v>28</v>
      </c>
      <c r="Q2" s="25" t="s">
        <v>29</v>
      </c>
    </row>
    <row r="3" spans="1:17" s="31" customFormat="1" ht="25.5" customHeight="1" x14ac:dyDescent="0.35">
      <c r="A3" s="26"/>
      <c r="B3" s="27"/>
      <c r="C3" s="28"/>
      <c r="D3" s="28"/>
      <c r="E3" s="28"/>
      <c r="F3" s="29"/>
      <c r="G3" s="30">
        <v>0.94879999999999998</v>
      </c>
      <c r="I3" s="32">
        <v>46222</v>
      </c>
      <c r="J3" s="19">
        <v>136</v>
      </c>
      <c r="K3" s="33">
        <v>0.94120000000000004</v>
      </c>
      <c r="L3" s="34">
        <v>0.91200000000000003</v>
      </c>
      <c r="N3" s="32">
        <v>46222</v>
      </c>
      <c r="O3" s="19">
        <v>63</v>
      </c>
      <c r="P3" s="35">
        <v>0.83599999999999997</v>
      </c>
      <c r="Q3" s="36">
        <v>0.60809999999999997</v>
      </c>
    </row>
    <row r="4" spans="1:17" s="31" customFormat="1" ht="25.5" customHeight="1" x14ac:dyDescent="0.35">
      <c r="A4" s="26"/>
      <c r="B4" s="27"/>
      <c r="C4" s="28"/>
      <c r="D4" s="28"/>
      <c r="E4" s="28"/>
      <c r="F4" s="29"/>
      <c r="G4" s="30">
        <v>0.95789999999999997</v>
      </c>
      <c r="I4" s="32">
        <v>46221</v>
      </c>
      <c r="J4" s="19">
        <v>143</v>
      </c>
      <c r="K4" s="33">
        <v>0.92800000000000005</v>
      </c>
      <c r="L4" s="34">
        <v>0.6593</v>
      </c>
      <c r="N4" s="32">
        <v>46221</v>
      </c>
      <c r="O4" s="19">
        <v>58</v>
      </c>
      <c r="P4" s="35">
        <v>0.89800000000000002</v>
      </c>
      <c r="Q4" s="36">
        <v>0.69589999999999996</v>
      </c>
    </row>
    <row r="5" spans="1:17" s="31" customFormat="1" ht="25.5" customHeight="1" x14ac:dyDescent="0.35">
      <c r="A5" s="26"/>
      <c r="B5" s="27"/>
      <c r="C5" s="28"/>
      <c r="D5" s="28"/>
      <c r="E5" s="28"/>
      <c r="F5" s="29"/>
      <c r="G5" s="30">
        <v>0.9486</v>
      </c>
      <c r="I5" s="32">
        <v>46220</v>
      </c>
      <c r="J5" s="19">
        <v>119</v>
      </c>
      <c r="K5" s="33">
        <v>0.98960000000000004</v>
      </c>
      <c r="L5" s="34">
        <v>0.8024</v>
      </c>
      <c r="N5" s="32">
        <v>46220</v>
      </c>
      <c r="O5" s="19">
        <v>49</v>
      </c>
      <c r="P5" s="35">
        <v>1</v>
      </c>
      <c r="Q5" s="36">
        <v>0.68600000000000005</v>
      </c>
    </row>
    <row r="6" spans="1:17" s="31" customFormat="1" ht="25.5" customHeight="1" x14ac:dyDescent="0.35">
      <c r="A6" s="26">
        <f t="shared" ref="A6:A39" si="0">I6</f>
        <v>46219</v>
      </c>
      <c r="B6" s="27">
        <f t="shared" ref="B6:B39" si="1">J6+IF(O6="",0,O6)</f>
        <v>190</v>
      </c>
      <c r="C6" s="28">
        <f t="shared" ref="C6:C39" si="2">(J6*K6+IF(O6="",0,O6*P6))/B6</f>
        <v>0.86999894736842109</v>
      </c>
      <c r="D6" s="28">
        <f t="shared" ref="D6:D39" si="3">(J6*L6+IF(O6="",0,O6*Q6))/B6</f>
        <v>0.6756557894736841</v>
      </c>
      <c r="E6" s="59">
        <v>136</v>
      </c>
      <c r="F6" s="60">
        <f t="shared" ref="F6:F39" si="4">IF(O6="",0,O6)</f>
        <v>54</v>
      </c>
      <c r="G6" s="30">
        <v>0.94850000000000001</v>
      </c>
      <c r="I6" s="32">
        <v>46219</v>
      </c>
      <c r="J6" s="19">
        <v>136</v>
      </c>
      <c r="K6" s="33">
        <v>0.92920000000000003</v>
      </c>
      <c r="L6" s="34">
        <v>0.69699999999999995</v>
      </c>
      <c r="N6" s="32">
        <v>46219</v>
      </c>
      <c r="O6" s="19">
        <v>54</v>
      </c>
      <c r="P6" s="35">
        <v>0.72089999999999999</v>
      </c>
      <c r="Q6" s="36">
        <v>0.62190000000000001</v>
      </c>
    </row>
    <row r="7" spans="1:17" s="31" customFormat="1" ht="25.5" customHeight="1" x14ac:dyDescent="0.35">
      <c r="A7" s="26">
        <f t="shared" si="0"/>
        <v>46218</v>
      </c>
      <c r="B7" s="27">
        <f t="shared" si="1"/>
        <v>181</v>
      </c>
      <c r="C7" s="28">
        <f t="shared" si="2"/>
        <v>0.85187679558011054</v>
      </c>
      <c r="D7" s="28">
        <f t="shared" si="3"/>
        <v>0.86706187845303861</v>
      </c>
      <c r="E7" s="59">
        <f t="shared" ref="E7:E39" si="5">J7</f>
        <v>115</v>
      </c>
      <c r="F7" s="60">
        <f t="shared" si="4"/>
        <v>66</v>
      </c>
      <c r="G7" s="30">
        <v>0.94340000000000002</v>
      </c>
      <c r="I7" s="32">
        <v>46218</v>
      </c>
      <c r="J7" s="19">
        <v>115</v>
      </c>
      <c r="K7" s="33">
        <v>0.92630000000000001</v>
      </c>
      <c r="L7" s="34">
        <v>0.95020000000000004</v>
      </c>
      <c r="N7" s="32">
        <v>46218</v>
      </c>
      <c r="O7" s="19">
        <v>66</v>
      </c>
      <c r="P7" s="35">
        <v>0.72219999999999995</v>
      </c>
      <c r="Q7" s="36">
        <v>0.72219999999999995</v>
      </c>
    </row>
    <row r="8" spans="1:17" ht="15" customHeight="1" x14ac:dyDescent="0.35">
      <c r="A8" s="26">
        <f t="shared" si="0"/>
        <v>46217</v>
      </c>
      <c r="B8" s="37">
        <f t="shared" si="1"/>
        <v>194</v>
      </c>
      <c r="C8" s="38">
        <f t="shared" si="2"/>
        <v>0.91248629930265357</v>
      </c>
      <c r="D8" s="38">
        <f t="shared" si="3"/>
        <v>0.83635051546391759</v>
      </c>
      <c r="E8" s="37">
        <f t="shared" si="5"/>
        <v>140</v>
      </c>
      <c r="F8" s="39">
        <f t="shared" si="4"/>
        <v>54</v>
      </c>
      <c r="G8" s="30">
        <v>0.94820000000000004</v>
      </c>
      <c r="I8" s="32">
        <v>46217</v>
      </c>
      <c r="J8" s="19">
        <v>140</v>
      </c>
      <c r="K8" s="33">
        <v>0.95762711864406702</v>
      </c>
      <c r="L8" s="34">
        <v>0.99</v>
      </c>
      <c r="N8" s="32">
        <v>46217</v>
      </c>
      <c r="O8" s="19">
        <v>54</v>
      </c>
      <c r="P8" s="35">
        <v>0.79545454545454497</v>
      </c>
      <c r="Q8" s="36">
        <v>0.438</v>
      </c>
    </row>
    <row r="9" spans="1:17" ht="15" customHeight="1" x14ac:dyDescent="0.35">
      <c r="A9" s="26">
        <f t="shared" si="0"/>
        <v>46216</v>
      </c>
      <c r="B9" s="37">
        <f t="shared" si="1"/>
        <v>191</v>
      </c>
      <c r="C9" s="38">
        <f t="shared" si="2"/>
        <v>0.90184071010603162</v>
      </c>
      <c r="D9" s="38">
        <f t="shared" si="3"/>
        <v>0.6192670157068062</v>
      </c>
      <c r="E9" s="37">
        <f t="shared" si="5"/>
        <v>131</v>
      </c>
      <c r="F9" s="39">
        <f t="shared" si="4"/>
        <v>60</v>
      </c>
      <c r="G9" s="30">
        <v>0.95109999999999995</v>
      </c>
      <c r="I9" s="32">
        <v>46216</v>
      </c>
      <c r="J9" s="19">
        <v>131</v>
      </c>
      <c r="K9" s="33">
        <v>0.90178571428571397</v>
      </c>
      <c r="L9" s="34">
        <v>0.57999999999999996</v>
      </c>
      <c r="N9" s="32">
        <v>46216</v>
      </c>
      <c r="O9" s="19">
        <v>60</v>
      </c>
      <c r="P9" s="35">
        <v>0.90196078431372495</v>
      </c>
      <c r="Q9" s="36">
        <v>0.70499999999999996</v>
      </c>
    </row>
    <row r="10" spans="1:17" ht="15" customHeight="1" x14ac:dyDescent="0.35">
      <c r="A10" s="26">
        <f t="shared" si="0"/>
        <v>46215</v>
      </c>
      <c r="B10" s="37">
        <f t="shared" si="1"/>
        <v>182</v>
      </c>
      <c r="C10" s="38">
        <f t="shared" si="2"/>
        <v>0.91207069949517916</v>
      </c>
      <c r="D10" s="38">
        <f t="shared" si="3"/>
        <v>0.73088296703296696</v>
      </c>
      <c r="E10" s="37">
        <f t="shared" si="5"/>
        <v>137</v>
      </c>
      <c r="F10" s="39">
        <f t="shared" si="4"/>
        <v>45</v>
      </c>
      <c r="G10" s="30">
        <v>0.95809999999999995</v>
      </c>
      <c r="H10" s="20"/>
      <c r="I10" s="32">
        <v>46215</v>
      </c>
      <c r="J10" s="19">
        <v>137</v>
      </c>
      <c r="K10" s="33">
        <v>0.96330275229357798</v>
      </c>
      <c r="L10" s="34">
        <v>0.82609999999999995</v>
      </c>
      <c r="N10" s="32">
        <v>46215</v>
      </c>
      <c r="O10" s="19">
        <v>45</v>
      </c>
      <c r="P10" s="35">
        <v>0.75609756097560898</v>
      </c>
      <c r="Q10" s="36">
        <v>0.441</v>
      </c>
    </row>
    <row r="11" spans="1:17" ht="15" customHeight="1" x14ac:dyDescent="0.35">
      <c r="A11" s="26">
        <f t="shared" si="0"/>
        <v>46214</v>
      </c>
      <c r="B11" s="37">
        <f t="shared" si="1"/>
        <v>184</v>
      </c>
      <c r="C11" s="38">
        <f t="shared" si="2"/>
        <v>0.95855343356359146</v>
      </c>
      <c r="D11" s="38">
        <f t="shared" si="3"/>
        <v>0.96843478260869564</v>
      </c>
      <c r="E11" s="37">
        <f t="shared" si="5"/>
        <v>136</v>
      </c>
      <c r="F11" s="39">
        <f t="shared" si="4"/>
        <v>48</v>
      </c>
      <c r="G11" s="30">
        <v>0.95530000000000004</v>
      </c>
      <c r="I11" s="32">
        <v>46214</v>
      </c>
      <c r="J11" s="19">
        <v>136</v>
      </c>
      <c r="K11" s="33">
        <v>0.94392523364485903</v>
      </c>
      <c r="L11" s="34">
        <v>1</v>
      </c>
      <c r="N11" s="32">
        <v>46214</v>
      </c>
      <c r="O11" s="19">
        <v>48</v>
      </c>
      <c r="P11" s="35">
        <v>1</v>
      </c>
      <c r="Q11" s="36">
        <v>0.879</v>
      </c>
    </row>
    <row r="12" spans="1:17" ht="15" customHeight="1" x14ac:dyDescent="0.35">
      <c r="A12" s="26">
        <f t="shared" si="0"/>
        <v>46213</v>
      </c>
      <c r="B12" s="37">
        <f t="shared" si="1"/>
        <v>179</v>
      </c>
      <c r="C12" s="38">
        <f t="shared" si="2"/>
        <v>0.93952545133929932</v>
      </c>
      <c r="D12" s="38">
        <f t="shared" si="3"/>
        <v>0.93012737430167591</v>
      </c>
      <c r="E12" s="37">
        <f t="shared" si="5"/>
        <v>137</v>
      </c>
      <c r="F12" s="39">
        <f t="shared" si="4"/>
        <v>42</v>
      </c>
      <c r="G12" s="30">
        <v>0.95220000000000005</v>
      </c>
      <c r="I12" s="32">
        <v>46213</v>
      </c>
      <c r="J12" s="19">
        <v>137</v>
      </c>
      <c r="K12" s="33">
        <v>0.95412844036697197</v>
      </c>
      <c r="L12" s="34">
        <v>0.99239999999999995</v>
      </c>
      <c r="N12" s="32">
        <v>46213</v>
      </c>
      <c r="O12" s="19">
        <v>42</v>
      </c>
      <c r="P12" s="35">
        <v>0.891891891891891</v>
      </c>
      <c r="Q12" s="36">
        <v>0.72699999999999998</v>
      </c>
    </row>
    <row r="13" spans="1:17" ht="15" customHeight="1" x14ac:dyDescent="0.35">
      <c r="A13" s="26">
        <f t="shared" si="0"/>
        <v>46212</v>
      </c>
      <c r="B13" s="37">
        <f t="shared" si="1"/>
        <v>143</v>
      </c>
      <c r="C13" s="38">
        <f t="shared" si="2"/>
        <v>0.96840627403287216</v>
      </c>
      <c r="D13" s="38">
        <f t="shared" si="3"/>
        <v>0.83901748251748254</v>
      </c>
      <c r="E13" s="37">
        <f t="shared" si="5"/>
        <v>105</v>
      </c>
      <c r="F13" s="39">
        <f t="shared" si="4"/>
        <v>38</v>
      </c>
      <c r="G13" s="30">
        <v>0.95050000000000001</v>
      </c>
      <c r="I13" s="32">
        <v>46212</v>
      </c>
      <c r="J13" s="19">
        <v>105</v>
      </c>
      <c r="K13" s="33">
        <v>0.97826086956521696</v>
      </c>
      <c r="L13" s="34">
        <v>0.94469999999999998</v>
      </c>
      <c r="N13" s="32">
        <v>46212</v>
      </c>
      <c r="O13" s="19">
        <v>38</v>
      </c>
      <c r="P13" s="35">
        <v>0.94117647058823495</v>
      </c>
      <c r="Q13" s="36">
        <v>0.54700000000000004</v>
      </c>
    </row>
    <row r="14" spans="1:17" ht="15" customHeight="1" x14ac:dyDescent="0.35">
      <c r="A14" s="26">
        <f t="shared" si="0"/>
        <v>46211</v>
      </c>
      <c r="B14" s="37">
        <f t="shared" si="1"/>
        <v>160</v>
      </c>
      <c r="C14" s="38">
        <f t="shared" si="2"/>
        <v>0.84783430232558099</v>
      </c>
      <c r="D14" s="38">
        <f t="shared" si="3"/>
        <v>0.79857999999999996</v>
      </c>
      <c r="E14" s="37">
        <f t="shared" si="5"/>
        <v>108</v>
      </c>
      <c r="F14" s="39">
        <f t="shared" si="4"/>
        <v>52</v>
      </c>
      <c r="G14" s="30">
        <v>0.95840000000000003</v>
      </c>
      <c r="I14" s="32">
        <v>46211</v>
      </c>
      <c r="J14" s="19">
        <v>108</v>
      </c>
      <c r="K14" s="33">
        <v>0.90697674418604601</v>
      </c>
      <c r="L14" s="34">
        <v>0.83160000000000001</v>
      </c>
      <c r="N14" s="32">
        <v>46211</v>
      </c>
      <c r="O14" s="19">
        <v>52</v>
      </c>
      <c r="P14" s="35">
        <v>0.72499999999999998</v>
      </c>
      <c r="Q14" s="36">
        <v>0.73</v>
      </c>
    </row>
    <row r="15" spans="1:17" ht="15" customHeight="1" x14ac:dyDescent="0.35">
      <c r="A15" s="26">
        <f t="shared" si="0"/>
        <v>46210</v>
      </c>
      <c r="B15" s="37">
        <f t="shared" si="1"/>
        <v>156</v>
      </c>
      <c r="C15" s="38">
        <f t="shared" si="2"/>
        <v>0.87143801215966132</v>
      </c>
      <c r="D15" s="38">
        <f t="shared" si="3"/>
        <v>0.73415705128205122</v>
      </c>
      <c r="E15" s="37">
        <f t="shared" si="5"/>
        <v>115</v>
      </c>
      <c r="F15" s="39">
        <f t="shared" si="4"/>
        <v>41</v>
      </c>
      <c r="G15" s="30">
        <v>0.93889999999999996</v>
      </c>
      <c r="I15" s="32">
        <v>46210</v>
      </c>
      <c r="J15" s="19">
        <v>115</v>
      </c>
      <c r="K15" s="33">
        <v>0.89690721649484495</v>
      </c>
      <c r="L15" s="34">
        <v>0.88109999999999999</v>
      </c>
      <c r="N15" s="32">
        <v>46210</v>
      </c>
      <c r="O15" s="19">
        <v>41</v>
      </c>
      <c r="P15" s="35">
        <v>0.8</v>
      </c>
      <c r="Q15" s="36">
        <v>0.32200000000000001</v>
      </c>
    </row>
    <row r="16" spans="1:17" ht="15" customHeight="1" x14ac:dyDescent="0.35">
      <c r="A16" s="26">
        <f t="shared" si="0"/>
        <v>46209</v>
      </c>
      <c r="B16" s="37">
        <f t="shared" si="1"/>
        <v>142</v>
      </c>
      <c r="C16" s="38">
        <f t="shared" si="2"/>
        <v>0.89072152211514666</v>
      </c>
      <c r="D16" s="38">
        <f t="shared" si="3"/>
        <v>0.72235633802816901</v>
      </c>
      <c r="E16" s="37">
        <f t="shared" si="5"/>
        <v>94</v>
      </c>
      <c r="F16" s="39">
        <f t="shared" si="4"/>
        <v>48</v>
      </c>
      <c r="G16" s="30">
        <v>0.93799999999999994</v>
      </c>
      <c r="I16" s="32">
        <v>46209</v>
      </c>
      <c r="J16" s="19">
        <v>94</v>
      </c>
      <c r="K16" s="33">
        <v>0.93421052631578905</v>
      </c>
      <c r="L16" s="34">
        <v>0.97989999999999999</v>
      </c>
      <c r="N16" s="32">
        <v>46209</v>
      </c>
      <c r="O16" s="19">
        <v>48</v>
      </c>
      <c r="P16" s="35">
        <v>0.80555555555555503</v>
      </c>
      <c r="Q16" s="36">
        <v>0.218</v>
      </c>
    </row>
    <row r="17" spans="1:17" ht="15" customHeight="1" x14ac:dyDescent="0.35">
      <c r="A17" s="26">
        <f t="shared" si="0"/>
        <v>46208</v>
      </c>
      <c r="B17" s="37">
        <f t="shared" si="1"/>
        <v>197</v>
      </c>
      <c r="C17" s="38">
        <f t="shared" si="2"/>
        <v>0.88493204519403901</v>
      </c>
      <c r="D17" s="38">
        <f t="shared" si="3"/>
        <v>0.51434517766497456</v>
      </c>
      <c r="E17" s="37">
        <f t="shared" si="5"/>
        <v>140</v>
      </c>
      <c r="F17" s="39">
        <f t="shared" si="4"/>
        <v>57</v>
      </c>
      <c r="G17" s="30">
        <v>0.95179999999999998</v>
      </c>
      <c r="I17" s="32">
        <v>46208</v>
      </c>
      <c r="J17" s="19">
        <v>140</v>
      </c>
      <c r="K17" s="33">
        <v>0.90322580645161199</v>
      </c>
      <c r="L17" s="34">
        <v>0.5837</v>
      </c>
      <c r="N17" s="32">
        <v>46208</v>
      </c>
      <c r="O17" s="19">
        <v>57</v>
      </c>
      <c r="P17" s="35">
        <v>0.84</v>
      </c>
      <c r="Q17" s="36">
        <v>0.34399999999999997</v>
      </c>
    </row>
    <row r="18" spans="1:17" ht="15" customHeight="1" x14ac:dyDescent="0.35">
      <c r="A18" s="26">
        <f t="shared" si="0"/>
        <v>46207</v>
      </c>
      <c r="B18" s="37">
        <f t="shared" si="1"/>
        <v>183</v>
      </c>
      <c r="C18" s="38">
        <f t="shared" si="2"/>
        <v>0.87922083937561668</v>
      </c>
      <c r="D18" s="38">
        <f t="shared" si="3"/>
        <v>0.5431377049180327</v>
      </c>
      <c r="E18" s="37">
        <f t="shared" si="5"/>
        <v>129</v>
      </c>
      <c r="F18" s="39">
        <f t="shared" si="4"/>
        <v>54</v>
      </c>
      <c r="G18" s="30">
        <v>0.95199999999999996</v>
      </c>
      <c r="I18" s="32">
        <v>46207</v>
      </c>
      <c r="J18" s="19">
        <v>129</v>
      </c>
      <c r="K18" s="33">
        <v>0.90654205607476601</v>
      </c>
      <c r="L18" s="34">
        <v>0.56579999999999997</v>
      </c>
      <c r="N18" s="32">
        <v>46207</v>
      </c>
      <c r="O18" s="19">
        <v>54</v>
      </c>
      <c r="P18" s="35">
        <v>0.81395348837209303</v>
      </c>
      <c r="Q18" s="36">
        <v>0.48899999999999999</v>
      </c>
    </row>
    <row r="19" spans="1:17" ht="15" customHeight="1" x14ac:dyDescent="0.35">
      <c r="A19" s="26">
        <f t="shared" si="0"/>
        <v>46206</v>
      </c>
      <c r="B19" s="37">
        <f t="shared" si="1"/>
        <v>172</v>
      </c>
      <c r="C19" s="38">
        <f t="shared" si="2"/>
        <v>0.84624460521004707</v>
      </c>
      <c r="D19" s="38">
        <f t="shared" si="3"/>
        <v>0.65944651162790702</v>
      </c>
      <c r="E19" s="37">
        <f t="shared" si="5"/>
        <v>124</v>
      </c>
      <c r="F19" s="39">
        <f t="shared" si="4"/>
        <v>48</v>
      </c>
      <c r="G19" s="30">
        <v>0.94530000000000003</v>
      </c>
      <c r="I19" s="32">
        <v>46206</v>
      </c>
      <c r="J19" s="19">
        <v>124</v>
      </c>
      <c r="K19" s="33">
        <v>0.90654205607476601</v>
      </c>
      <c r="L19" s="34">
        <v>0.79820000000000002</v>
      </c>
      <c r="N19" s="32">
        <v>46206</v>
      </c>
      <c r="O19" s="19">
        <v>48</v>
      </c>
      <c r="P19" s="35">
        <v>0.69047619047619002</v>
      </c>
      <c r="Q19" s="36">
        <v>0.30099999999999999</v>
      </c>
    </row>
    <row r="20" spans="1:17" ht="15" customHeight="1" x14ac:dyDescent="0.35">
      <c r="A20" s="26">
        <f t="shared" si="0"/>
        <v>46205</v>
      </c>
      <c r="B20" s="37">
        <f t="shared" si="1"/>
        <v>124</v>
      </c>
      <c r="C20" s="38">
        <f t="shared" si="2"/>
        <v>0.87467244962501067</v>
      </c>
      <c r="D20" s="38">
        <f t="shared" si="3"/>
        <v>0.66485806451612894</v>
      </c>
      <c r="E20" s="37">
        <f t="shared" si="5"/>
        <v>78</v>
      </c>
      <c r="F20" s="39">
        <f t="shared" si="4"/>
        <v>46</v>
      </c>
      <c r="G20" s="30">
        <v>0.93289999999999995</v>
      </c>
      <c r="I20" s="32">
        <v>46205</v>
      </c>
      <c r="J20" s="19">
        <v>78</v>
      </c>
      <c r="K20" s="33">
        <v>0.94117647058823495</v>
      </c>
      <c r="L20" s="34">
        <v>0.92779999999999996</v>
      </c>
      <c r="N20" s="32">
        <v>46205</v>
      </c>
      <c r="O20" s="19">
        <v>46</v>
      </c>
      <c r="P20" s="35">
        <v>0.76190476190476097</v>
      </c>
      <c r="Q20" s="36">
        <v>0.219</v>
      </c>
    </row>
    <row r="21" spans="1:17" ht="15" customHeight="1" x14ac:dyDescent="0.35">
      <c r="A21" s="26">
        <f t="shared" si="0"/>
        <v>46204</v>
      </c>
      <c r="B21" s="37">
        <f t="shared" si="1"/>
        <v>158</v>
      </c>
      <c r="C21" s="38">
        <f t="shared" si="2"/>
        <v>0.88262206148282074</v>
      </c>
      <c r="D21" s="38">
        <f t="shared" si="3"/>
        <v>0.67670632911392403</v>
      </c>
      <c r="E21" s="37">
        <f t="shared" si="5"/>
        <v>118</v>
      </c>
      <c r="F21" s="39">
        <f t="shared" si="4"/>
        <v>40</v>
      </c>
      <c r="G21" s="30">
        <v>0.93899999999999995</v>
      </c>
      <c r="I21" s="32">
        <v>46204</v>
      </c>
      <c r="J21" s="19">
        <v>118</v>
      </c>
      <c r="K21" s="33">
        <v>0.93</v>
      </c>
      <c r="L21" s="34">
        <v>0.7722</v>
      </c>
      <c r="N21" s="32">
        <v>46204</v>
      </c>
      <c r="O21" s="19">
        <v>40</v>
      </c>
      <c r="P21" s="35">
        <v>0.74285714285714199</v>
      </c>
      <c r="Q21" s="36">
        <v>0.39500000000000002</v>
      </c>
    </row>
    <row r="22" spans="1:17" ht="15" customHeight="1" x14ac:dyDescent="0.35">
      <c r="A22" s="26">
        <f t="shared" si="0"/>
        <v>46203</v>
      </c>
      <c r="B22" s="37">
        <f t="shared" si="1"/>
        <v>156</v>
      </c>
      <c r="C22" s="38">
        <f t="shared" si="2"/>
        <v>0.89349112426035426</v>
      </c>
      <c r="D22" s="38">
        <f t="shared" si="3"/>
        <v>0.95216538461538469</v>
      </c>
      <c r="E22" s="37">
        <f t="shared" si="5"/>
        <v>93</v>
      </c>
      <c r="F22" s="39">
        <f t="shared" si="4"/>
        <v>63</v>
      </c>
      <c r="G22" s="30">
        <v>0.9607</v>
      </c>
      <c r="I22" s="32">
        <v>46203</v>
      </c>
      <c r="J22" s="19">
        <v>93</v>
      </c>
      <c r="K22" s="33">
        <v>0.85897435897435803</v>
      </c>
      <c r="L22" s="34">
        <v>0.93059999999999998</v>
      </c>
      <c r="N22" s="32">
        <v>46203</v>
      </c>
      <c r="O22" s="19">
        <v>63</v>
      </c>
      <c r="P22" s="35">
        <v>0.94444444444444398</v>
      </c>
      <c r="Q22" s="36">
        <v>0.98399999999999999</v>
      </c>
    </row>
    <row r="23" spans="1:17" ht="15" customHeight="1" x14ac:dyDescent="0.35">
      <c r="A23" s="26">
        <f t="shared" si="0"/>
        <v>46202</v>
      </c>
      <c r="B23" s="37">
        <f t="shared" si="1"/>
        <v>143</v>
      </c>
      <c r="C23" s="38">
        <f t="shared" si="2"/>
        <v>0.90813878784797408</v>
      </c>
      <c r="D23" s="38">
        <f t="shared" si="3"/>
        <v>0.71762657342657343</v>
      </c>
      <c r="E23" s="37">
        <f t="shared" si="5"/>
        <v>107</v>
      </c>
      <c r="F23" s="39">
        <f t="shared" si="4"/>
        <v>36</v>
      </c>
      <c r="G23" s="30">
        <v>0.95020000000000004</v>
      </c>
      <c r="I23" s="32">
        <v>46202</v>
      </c>
      <c r="J23" s="19">
        <v>107</v>
      </c>
      <c r="K23" s="33">
        <v>0.96629213483146004</v>
      </c>
      <c r="L23" s="34">
        <v>0.82179999999999997</v>
      </c>
      <c r="N23" s="32">
        <v>46202</v>
      </c>
      <c r="O23" s="19">
        <v>36</v>
      </c>
      <c r="P23" s="35">
        <v>0.73529411764705799</v>
      </c>
      <c r="Q23" s="36">
        <v>0.40799999999999997</v>
      </c>
    </row>
    <row r="24" spans="1:17" ht="15" customHeight="1" x14ac:dyDescent="0.35">
      <c r="A24" s="26">
        <f t="shared" si="0"/>
        <v>46201</v>
      </c>
      <c r="B24" s="37">
        <f t="shared" si="1"/>
        <v>145</v>
      </c>
      <c r="C24" s="38">
        <f t="shared" si="2"/>
        <v>0.95390804597701107</v>
      </c>
      <c r="D24" s="38">
        <f t="shared" si="3"/>
        <v>0.86660000000000004</v>
      </c>
      <c r="E24" s="37">
        <f t="shared" si="5"/>
        <v>102</v>
      </c>
      <c r="F24" s="39">
        <f t="shared" si="4"/>
        <v>43</v>
      </c>
      <c r="G24" s="30">
        <v>0.93679999999999997</v>
      </c>
      <c r="I24" s="32">
        <v>46201</v>
      </c>
      <c r="J24" s="19">
        <v>102</v>
      </c>
      <c r="K24" s="33">
        <v>0.95555555555555505</v>
      </c>
      <c r="L24" s="34">
        <v>0.96550000000000002</v>
      </c>
      <c r="N24" s="32">
        <v>46201</v>
      </c>
      <c r="O24" s="19">
        <v>43</v>
      </c>
      <c r="P24" s="35">
        <v>0.95</v>
      </c>
      <c r="Q24" s="36">
        <v>0.63200000000000001</v>
      </c>
    </row>
    <row r="25" spans="1:17" ht="15" customHeight="1" x14ac:dyDescent="0.35">
      <c r="A25" s="26">
        <f t="shared" si="0"/>
        <v>46200</v>
      </c>
      <c r="B25" s="37">
        <f t="shared" si="1"/>
        <v>169</v>
      </c>
      <c r="C25" s="38">
        <f t="shared" si="2"/>
        <v>0.85784487263777143</v>
      </c>
      <c r="D25" s="38">
        <f t="shared" si="3"/>
        <v>0.87272189349112428</v>
      </c>
      <c r="E25" s="37">
        <f t="shared" si="5"/>
        <v>122</v>
      </c>
      <c r="F25" s="39">
        <f t="shared" si="4"/>
        <v>47</v>
      </c>
      <c r="G25" s="30">
        <v>0.94820000000000004</v>
      </c>
      <c r="I25" s="32">
        <v>46200</v>
      </c>
      <c r="J25" s="19">
        <v>122</v>
      </c>
      <c r="K25" s="33">
        <v>0.842592592592592</v>
      </c>
      <c r="L25" s="34">
        <v>0.84950000000000003</v>
      </c>
      <c r="N25" s="32">
        <v>46200</v>
      </c>
      <c r="O25" s="19">
        <v>47</v>
      </c>
      <c r="P25" s="35">
        <v>0.89743589743589702</v>
      </c>
      <c r="Q25" s="36">
        <v>0.93300000000000005</v>
      </c>
    </row>
    <row r="26" spans="1:17" ht="15" customHeight="1" x14ac:dyDescent="0.35">
      <c r="A26" s="26">
        <f t="shared" si="0"/>
        <v>46199</v>
      </c>
      <c r="B26" s="37">
        <f t="shared" si="1"/>
        <v>176</v>
      </c>
      <c r="C26" s="38">
        <f t="shared" si="2"/>
        <v>0.91079595602984786</v>
      </c>
      <c r="D26" s="38">
        <f t="shared" si="3"/>
        <v>0.6297272727272728</v>
      </c>
      <c r="E26" s="37">
        <f t="shared" si="5"/>
        <v>128</v>
      </c>
      <c r="F26" s="39">
        <f t="shared" si="4"/>
        <v>48</v>
      </c>
      <c r="G26" s="30">
        <v>0.94230000000000003</v>
      </c>
      <c r="I26" s="32">
        <v>46199</v>
      </c>
      <c r="J26" s="19">
        <v>128</v>
      </c>
      <c r="K26" s="33">
        <v>0.90291262135922301</v>
      </c>
      <c r="L26" s="34">
        <v>0.52500000000000002</v>
      </c>
      <c r="N26" s="32">
        <v>46199</v>
      </c>
      <c r="O26" s="19">
        <v>48</v>
      </c>
      <c r="P26" s="35">
        <v>0.93181818181818099</v>
      </c>
      <c r="Q26" s="36">
        <v>0.90900000000000003</v>
      </c>
    </row>
    <row r="27" spans="1:17" ht="15" customHeight="1" x14ac:dyDescent="0.35">
      <c r="A27" s="26">
        <f t="shared" si="0"/>
        <v>46198</v>
      </c>
      <c r="B27" s="37">
        <f t="shared" si="1"/>
        <v>152</v>
      </c>
      <c r="C27" s="38">
        <f t="shared" si="2"/>
        <v>0.91236154903387479</v>
      </c>
      <c r="D27" s="38">
        <f t="shared" si="3"/>
        <v>0.70304210526315791</v>
      </c>
      <c r="E27" s="37">
        <f t="shared" si="5"/>
        <v>106</v>
      </c>
      <c r="F27" s="39">
        <f t="shared" si="4"/>
        <v>46</v>
      </c>
      <c r="G27" s="30">
        <v>0.95450000000000002</v>
      </c>
      <c r="I27" s="32">
        <v>46198</v>
      </c>
      <c r="J27" s="19">
        <v>106</v>
      </c>
      <c r="K27" s="33">
        <v>0.956989247311828</v>
      </c>
      <c r="L27" s="34">
        <v>0.61539999999999995</v>
      </c>
      <c r="N27" s="32">
        <v>46198</v>
      </c>
      <c r="O27" s="19">
        <v>46</v>
      </c>
      <c r="P27" s="35">
        <v>0.80952380952380898</v>
      </c>
      <c r="Q27" s="36">
        <v>0.90500000000000003</v>
      </c>
    </row>
    <row r="28" spans="1:17" ht="15" customHeight="1" x14ac:dyDescent="0.35">
      <c r="A28" s="26">
        <f t="shared" si="0"/>
        <v>46197</v>
      </c>
      <c r="B28" s="37">
        <f t="shared" si="1"/>
        <v>149</v>
      </c>
      <c r="C28" s="38">
        <f t="shared" si="2"/>
        <v>0.8347937561269887</v>
      </c>
      <c r="D28" s="38">
        <f t="shared" si="3"/>
        <v>0.55830872483221483</v>
      </c>
      <c r="E28" s="37">
        <f t="shared" si="5"/>
        <v>105</v>
      </c>
      <c r="F28" s="39">
        <f t="shared" si="4"/>
        <v>44</v>
      </c>
      <c r="G28" s="30">
        <v>0.94259999999999999</v>
      </c>
      <c r="I28" s="32">
        <v>46197</v>
      </c>
      <c r="J28" s="19">
        <v>105</v>
      </c>
      <c r="K28" s="33">
        <v>0.78651685393258397</v>
      </c>
      <c r="L28" s="34">
        <v>0.44319999999999998</v>
      </c>
      <c r="N28" s="32">
        <v>46197</v>
      </c>
      <c r="O28" s="19">
        <v>44</v>
      </c>
      <c r="P28" s="35">
        <v>0.95</v>
      </c>
      <c r="Q28" s="36">
        <v>0.83299999999999996</v>
      </c>
    </row>
    <row r="29" spans="1:17" ht="15" customHeight="1" x14ac:dyDescent="0.35">
      <c r="A29" s="26">
        <f t="shared" si="0"/>
        <v>46196</v>
      </c>
      <c r="B29" s="37">
        <f t="shared" si="1"/>
        <v>173</v>
      </c>
      <c r="C29" s="38">
        <f t="shared" si="2"/>
        <v>0.75700311249444163</v>
      </c>
      <c r="D29" s="38">
        <f t="shared" si="3"/>
        <v>0.47286936416184971</v>
      </c>
      <c r="E29" s="37">
        <f t="shared" si="5"/>
        <v>126</v>
      </c>
      <c r="F29" s="39">
        <f t="shared" si="4"/>
        <v>47</v>
      </c>
      <c r="G29" s="30">
        <v>0.9546</v>
      </c>
      <c r="I29" s="32">
        <v>46196</v>
      </c>
      <c r="J29" s="19">
        <v>126</v>
      </c>
      <c r="K29" s="33">
        <v>0.75961538461538403</v>
      </c>
      <c r="L29" s="34">
        <v>0.34039999999999998</v>
      </c>
      <c r="N29" s="32">
        <v>46196</v>
      </c>
      <c r="O29" s="19">
        <v>47</v>
      </c>
      <c r="P29" s="35">
        <v>0.75</v>
      </c>
      <c r="Q29" s="36">
        <v>0.82799999999999996</v>
      </c>
    </row>
    <row r="30" spans="1:17" ht="15" customHeight="1" x14ac:dyDescent="0.35">
      <c r="A30" s="26">
        <f t="shared" si="0"/>
        <v>46195</v>
      </c>
      <c r="B30" s="37">
        <f t="shared" si="1"/>
        <v>139</v>
      </c>
      <c r="C30" s="38">
        <f t="shared" si="2"/>
        <v>0.84708072874780882</v>
      </c>
      <c r="D30" s="38">
        <f t="shared" si="3"/>
        <v>0.78705035971223025</v>
      </c>
      <c r="E30" s="37">
        <f t="shared" si="5"/>
        <v>100</v>
      </c>
      <c r="F30" s="39">
        <f t="shared" si="4"/>
        <v>39</v>
      </c>
      <c r="G30" s="30">
        <v>0.95720000000000005</v>
      </c>
      <c r="I30" s="32">
        <v>46195</v>
      </c>
      <c r="J30" s="19">
        <v>100</v>
      </c>
      <c r="K30" s="33">
        <v>0.86813186813186805</v>
      </c>
      <c r="L30" s="34">
        <v>0.81710000000000005</v>
      </c>
      <c r="N30" s="32">
        <v>46195</v>
      </c>
      <c r="O30" s="19">
        <v>39</v>
      </c>
      <c r="P30" s="35">
        <v>0.79310344827586199</v>
      </c>
      <c r="Q30" s="36">
        <v>0.71</v>
      </c>
    </row>
    <row r="31" spans="1:17" ht="15" customHeight="1" x14ac:dyDescent="0.35">
      <c r="A31" s="26">
        <f t="shared" si="0"/>
        <v>46194</v>
      </c>
      <c r="B31" s="37">
        <f t="shared" si="1"/>
        <v>168</v>
      </c>
      <c r="C31" s="38">
        <f t="shared" si="2"/>
        <v>0.87179681194511682</v>
      </c>
      <c r="D31" s="38">
        <f t="shared" si="3"/>
        <v>0.66497499999999998</v>
      </c>
      <c r="E31" s="37">
        <f t="shared" si="5"/>
        <v>133</v>
      </c>
      <c r="F31" s="39">
        <f t="shared" si="4"/>
        <v>35</v>
      </c>
      <c r="G31" s="30">
        <v>0.94179999999999997</v>
      </c>
      <c r="I31" s="32">
        <v>46194</v>
      </c>
      <c r="J31" s="19">
        <v>133</v>
      </c>
      <c r="K31" s="33">
        <v>0.84745762711864403</v>
      </c>
      <c r="L31" s="34">
        <v>0.71260000000000001</v>
      </c>
      <c r="N31" s="32">
        <v>46194</v>
      </c>
      <c r="O31" s="19">
        <v>35</v>
      </c>
      <c r="P31" s="35">
        <v>0.96428571428571397</v>
      </c>
      <c r="Q31" s="36">
        <v>0.48399999999999999</v>
      </c>
    </row>
    <row r="32" spans="1:17" ht="15" customHeight="1" x14ac:dyDescent="0.35">
      <c r="A32" s="26">
        <f t="shared" si="0"/>
        <v>46193</v>
      </c>
      <c r="B32" s="37">
        <f t="shared" si="1"/>
        <v>184</v>
      </c>
      <c r="C32" s="38">
        <f t="shared" si="2"/>
        <v>0.64012551140697516</v>
      </c>
      <c r="D32" s="38">
        <f t="shared" si="3"/>
        <v>0.63595108695652169</v>
      </c>
      <c r="E32" s="37">
        <f t="shared" si="5"/>
        <v>130</v>
      </c>
      <c r="F32" s="39">
        <f t="shared" si="4"/>
        <v>54</v>
      </c>
      <c r="G32" s="30">
        <v>0.95309999999999995</v>
      </c>
      <c r="I32" s="32">
        <v>46193</v>
      </c>
      <c r="J32" s="19">
        <v>130</v>
      </c>
      <c r="K32" s="33">
        <v>0.62280701754385903</v>
      </c>
      <c r="L32" s="34">
        <v>0.79169999999999996</v>
      </c>
      <c r="N32" s="32">
        <v>46193</v>
      </c>
      <c r="O32" s="19">
        <v>54</v>
      </c>
      <c r="P32" s="35">
        <v>0.68181818181818099</v>
      </c>
      <c r="Q32" s="36">
        <v>0.26100000000000001</v>
      </c>
    </row>
    <row r="33" spans="1:17" ht="15" customHeight="1" x14ac:dyDescent="0.35">
      <c r="A33" s="26">
        <f t="shared" si="0"/>
        <v>46192</v>
      </c>
      <c r="B33" s="37">
        <f t="shared" si="1"/>
        <v>144</v>
      </c>
      <c r="C33" s="38">
        <f t="shared" si="2"/>
        <v>0.89685331350568076</v>
      </c>
      <c r="D33" s="38">
        <f t="shared" si="3"/>
        <v>0.71839027777777775</v>
      </c>
      <c r="E33" s="37">
        <f t="shared" si="5"/>
        <v>107</v>
      </c>
      <c r="F33" s="39">
        <f t="shared" si="4"/>
        <v>37</v>
      </c>
      <c r="G33" s="30">
        <v>0.9516</v>
      </c>
      <c r="I33" s="32">
        <v>46192</v>
      </c>
      <c r="J33" s="19">
        <v>107</v>
      </c>
      <c r="K33" s="33">
        <v>0.87234042553191404</v>
      </c>
      <c r="L33" s="34">
        <v>0.83160000000000001</v>
      </c>
      <c r="N33" s="32">
        <v>46192</v>
      </c>
      <c r="O33" s="19">
        <v>37</v>
      </c>
      <c r="P33" s="35">
        <v>0.967741935483871</v>
      </c>
      <c r="Q33" s="36">
        <v>0.39100000000000001</v>
      </c>
    </row>
    <row r="34" spans="1:17" ht="15" customHeight="1" x14ac:dyDescent="0.35">
      <c r="A34" s="26">
        <f t="shared" si="0"/>
        <v>46191</v>
      </c>
      <c r="B34" s="37">
        <f t="shared" si="1"/>
        <v>139</v>
      </c>
      <c r="C34" s="38">
        <f t="shared" si="2"/>
        <v>0.92826914938637306</v>
      </c>
      <c r="D34" s="38">
        <f t="shared" si="3"/>
        <v>0.69176258992805761</v>
      </c>
      <c r="E34" s="37">
        <f t="shared" si="5"/>
        <v>95</v>
      </c>
      <c r="F34" s="39">
        <f t="shared" si="4"/>
        <v>44</v>
      </c>
      <c r="G34" s="30">
        <v>0.95599999999999996</v>
      </c>
      <c r="I34" s="32">
        <v>46191</v>
      </c>
      <c r="J34" s="19">
        <v>95</v>
      </c>
      <c r="K34" s="33">
        <v>0.95294117647058796</v>
      </c>
      <c r="L34" s="34">
        <v>0.54900000000000004</v>
      </c>
      <c r="N34" s="32">
        <v>46191</v>
      </c>
      <c r="O34" s="19">
        <v>44</v>
      </c>
      <c r="P34" s="35">
        <v>0.875</v>
      </c>
      <c r="Q34" s="36">
        <v>1</v>
      </c>
    </row>
    <row r="35" spans="1:17" ht="15" customHeight="1" x14ac:dyDescent="0.35">
      <c r="A35" s="26">
        <f t="shared" si="0"/>
        <v>46190</v>
      </c>
      <c r="B35" s="37">
        <f t="shared" si="1"/>
        <v>104</v>
      </c>
      <c r="C35" s="38">
        <f t="shared" si="2"/>
        <v>0.87951807228915591</v>
      </c>
      <c r="D35" s="38">
        <f t="shared" si="3"/>
        <v>0.55840000000000001</v>
      </c>
      <c r="E35" s="37">
        <f t="shared" si="5"/>
        <v>104</v>
      </c>
      <c r="F35" s="39">
        <f t="shared" si="4"/>
        <v>0</v>
      </c>
      <c r="G35" s="30">
        <v>0.9446</v>
      </c>
      <c r="I35" s="32">
        <v>46190</v>
      </c>
      <c r="J35" s="19">
        <v>104</v>
      </c>
      <c r="K35" s="33">
        <v>0.87951807228915602</v>
      </c>
      <c r="L35" s="34">
        <v>0.55840000000000001</v>
      </c>
      <c r="N35" s="40"/>
      <c r="P35" s="41"/>
      <c r="Q35" s="41"/>
    </row>
    <row r="36" spans="1:17" ht="15" customHeight="1" x14ac:dyDescent="0.35">
      <c r="A36" s="26">
        <f t="shared" si="0"/>
        <v>46189</v>
      </c>
      <c r="B36" s="37">
        <f t="shared" si="1"/>
        <v>114</v>
      </c>
      <c r="C36" s="38">
        <f t="shared" si="2"/>
        <v>0.93548387096774099</v>
      </c>
      <c r="D36" s="38">
        <f t="shared" si="3"/>
        <v>0.88519999999999999</v>
      </c>
      <c r="E36" s="37">
        <f t="shared" si="5"/>
        <v>114</v>
      </c>
      <c r="F36" s="39">
        <f t="shared" si="4"/>
        <v>0</v>
      </c>
      <c r="G36" s="30">
        <v>0.94189999999999996</v>
      </c>
      <c r="I36" s="32">
        <v>46189</v>
      </c>
      <c r="J36" s="19">
        <v>114</v>
      </c>
      <c r="K36" s="33">
        <v>0.93548387096774099</v>
      </c>
      <c r="L36" s="34">
        <v>0.88519999999999999</v>
      </c>
      <c r="N36" s="40"/>
      <c r="P36" s="41"/>
      <c r="Q36" s="41"/>
    </row>
    <row r="37" spans="1:17" ht="15" customHeight="1" x14ac:dyDescent="0.35">
      <c r="A37" s="26">
        <f t="shared" si="0"/>
        <v>46188</v>
      </c>
      <c r="B37" s="37">
        <f t="shared" si="1"/>
        <v>101</v>
      </c>
      <c r="C37" s="38">
        <f t="shared" si="2"/>
        <v>0.90804597701149403</v>
      </c>
      <c r="D37" s="38">
        <f t="shared" si="3"/>
        <v>0.44</v>
      </c>
      <c r="E37" s="37">
        <f t="shared" si="5"/>
        <v>101</v>
      </c>
      <c r="F37" s="39">
        <f t="shared" si="4"/>
        <v>0</v>
      </c>
      <c r="G37" s="30">
        <v>0.94640000000000002</v>
      </c>
      <c r="I37" s="32">
        <v>46188</v>
      </c>
      <c r="J37" s="19">
        <v>101</v>
      </c>
      <c r="K37" s="33">
        <v>0.90804597701149403</v>
      </c>
      <c r="L37" s="34">
        <v>0.44</v>
      </c>
      <c r="N37" s="40"/>
      <c r="P37" s="41"/>
      <c r="Q37" s="41"/>
    </row>
    <row r="38" spans="1:17" ht="15" customHeight="1" x14ac:dyDescent="0.35">
      <c r="A38" s="26">
        <f t="shared" si="0"/>
        <v>46187</v>
      </c>
      <c r="B38" s="37">
        <f t="shared" si="1"/>
        <v>112</v>
      </c>
      <c r="C38" s="38">
        <f t="shared" si="2"/>
        <v>0.9375</v>
      </c>
      <c r="D38" s="38">
        <f t="shared" si="3"/>
        <v>0.97829999999999995</v>
      </c>
      <c r="E38" s="37">
        <f t="shared" si="5"/>
        <v>112</v>
      </c>
      <c r="F38" s="39">
        <f t="shared" si="4"/>
        <v>0</v>
      </c>
      <c r="G38" s="30">
        <v>0.94510000000000005</v>
      </c>
      <c r="I38" s="32">
        <v>46187</v>
      </c>
      <c r="J38" s="19">
        <v>112</v>
      </c>
      <c r="K38" s="33">
        <v>0.9375</v>
      </c>
      <c r="L38" s="34">
        <v>0.97829999999999995</v>
      </c>
      <c r="N38" s="40"/>
      <c r="P38" s="42"/>
    </row>
    <row r="39" spans="1:17" ht="14.25" customHeight="1" x14ac:dyDescent="0.35">
      <c r="A39" s="26">
        <f t="shared" si="0"/>
        <v>46186</v>
      </c>
      <c r="B39" s="37">
        <f t="shared" si="1"/>
        <v>125</v>
      </c>
      <c r="C39" s="38">
        <f t="shared" si="2"/>
        <v>0.939393939393939</v>
      </c>
      <c r="D39" s="38">
        <f t="shared" si="3"/>
        <v>0.88239999999999996</v>
      </c>
      <c r="E39" s="37">
        <f t="shared" si="5"/>
        <v>125</v>
      </c>
      <c r="F39" s="39">
        <f t="shared" si="4"/>
        <v>0</v>
      </c>
      <c r="G39" s="30">
        <v>0.94899999999999995</v>
      </c>
      <c r="I39" s="32">
        <v>46186</v>
      </c>
      <c r="J39" s="19">
        <v>125</v>
      </c>
      <c r="K39" s="33">
        <v>0.939393939393939</v>
      </c>
      <c r="L39" s="34">
        <v>0.88239999999999996</v>
      </c>
      <c r="N39" s="40"/>
      <c r="P39" s="42"/>
    </row>
    <row r="40" spans="1:17" ht="14.25" customHeight="1" x14ac:dyDescent="0.35">
      <c r="A40" s="40"/>
      <c r="G40" s="43"/>
      <c r="I40" s="40"/>
      <c r="N40" s="40"/>
    </row>
    <row r="41" spans="1:17" ht="14.25" customHeight="1" x14ac:dyDescent="0.35">
      <c r="A41" s="40"/>
      <c r="G41" s="43"/>
      <c r="I41" s="40"/>
      <c r="N41" s="40"/>
    </row>
    <row r="42" spans="1:17" ht="14.25" customHeight="1" x14ac:dyDescent="0.35">
      <c r="A42" s="40"/>
      <c r="G42" s="43"/>
      <c r="I42" s="40"/>
      <c r="N42" s="40"/>
    </row>
    <row r="43" spans="1:17" ht="14.25" customHeight="1" x14ac:dyDescent="0.35">
      <c r="A43" s="40"/>
      <c r="I43" s="40"/>
      <c r="N43" s="40"/>
    </row>
    <row r="44" spans="1:17" ht="14.25" customHeight="1" x14ac:dyDescent="0.35">
      <c r="A44" s="40"/>
      <c r="I44" s="40"/>
      <c r="N44" s="40"/>
    </row>
    <row r="45" spans="1:17" ht="14.25" customHeight="1" x14ac:dyDescent="0.35">
      <c r="A45" s="40"/>
      <c r="I45" s="40"/>
      <c r="N45" s="40"/>
    </row>
    <row r="46" spans="1:17" ht="14.25" customHeight="1" x14ac:dyDescent="0.35">
      <c r="A46" s="40"/>
      <c r="I46" s="40"/>
      <c r="N46" s="40"/>
    </row>
    <row r="47" spans="1:17" ht="14.25" customHeight="1" x14ac:dyDescent="0.35">
      <c r="A47" s="40"/>
      <c r="I47" s="40"/>
      <c r="N47" s="40"/>
    </row>
    <row r="48" spans="1:17" ht="14.25" customHeight="1" x14ac:dyDescent="0.35">
      <c r="A48" s="40"/>
      <c r="I48" s="40"/>
      <c r="N48" s="40"/>
    </row>
    <row r="49" spans="1:14" ht="14.25" customHeight="1" x14ac:dyDescent="0.35">
      <c r="A49" s="40"/>
      <c r="I49" s="40"/>
      <c r="N49" s="40"/>
    </row>
    <row r="50" spans="1:14" ht="14.25" customHeight="1" x14ac:dyDescent="0.35">
      <c r="A50" s="40"/>
      <c r="I50" s="40"/>
      <c r="N50" s="40"/>
    </row>
    <row r="51" spans="1:14" ht="14.25" customHeight="1" x14ac:dyDescent="0.35">
      <c r="A51" s="40"/>
      <c r="I51" s="40"/>
      <c r="N51" s="40"/>
    </row>
    <row r="52" spans="1:14" ht="14.25" customHeight="1" x14ac:dyDescent="0.35">
      <c r="A52" s="40"/>
      <c r="I52" s="40"/>
      <c r="N52" s="40"/>
    </row>
    <row r="53" spans="1:14" ht="14.25" customHeight="1" x14ac:dyDescent="0.35">
      <c r="A53" s="40"/>
      <c r="I53" s="40"/>
      <c r="N53" s="40"/>
    </row>
    <row r="54" spans="1:14" ht="14.25" customHeight="1" x14ac:dyDescent="0.35">
      <c r="A54" s="40"/>
      <c r="I54" s="40"/>
      <c r="N54" s="40"/>
    </row>
    <row r="55" spans="1:14" ht="14.25" customHeight="1" x14ac:dyDescent="0.35">
      <c r="A55" s="40"/>
      <c r="I55" s="40"/>
      <c r="N55" s="40"/>
    </row>
    <row r="56" spans="1:14" ht="14.25" customHeight="1" x14ac:dyDescent="0.35">
      <c r="A56" s="40"/>
      <c r="I56" s="40"/>
      <c r="N56" s="40"/>
    </row>
    <row r="57" spans="1:14" ht="14.25" customHeight="1" x14ac:dyDescent="0.35">
      <c r="A57" s="40"/>
      <c r="I57" s="40"/>
      <c r="N57" s="40"/>
    </row>
    <row r="58" spans="1:14" ht="14.25" customHeight="1" x14ac:dyDescent="0.35">
      <c r="A58" s="40"/>
      <c r="I58" s="40"/>
      <c r="N58" s="40"/>
    </row>
    <row r="59" spans="1:14" ht="14.25" customHeight="1" x14ac:dyDescent="0.35">
      <c r="A59" s="40"/>
      <c r="I59" s="40"/>
      <c r="N59" s="40"/>
    </row>
  </sheetData>
  <mergeCells count="2">
    <mergeCell ref="I1:L1"/>
    <mergeCell ref="N1:Q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9"/>
  <sheetViews>
    <sheetView topLeftCell="G4" zoomScaleNormal="100" workbookViewId="0">
      <selection activeCell="R4" sqref="R4:S4"/>
    </sheetView>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30</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10</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'Raw-Data'!I39</f>
        <v>46186</v>
      </c>
      <c r="B5" s="5">
        <f>'Raw-Data'!J39</f>
        <v>125</v>
      </c>
      <c r="C5" s="7">
        <f>'Raw-Data'!K39</f>
        <v>0.939393939393939</v>
      </c>
      <c r="D5" s="7">
        <v>0.9</v>
      </c>
      <c r="E5" s="45">
        <v>0.05</v>
      </c>
      <c r="F5" s="7">
        <f t="shared" ref="F5:F38" si="0">MAX(0,D5-3*SQRT(D5*(1-D5)/B5))</f>
        <v>0.81950155281000758</v>
      </c>
      <c r="G5" s="6">
        <v>0.95</v>
      </c>
      <c r="H5" s="46">
        <f t="shared" ref="H5:H38" si="1">(C5-D5)/E5</f>
        <v>0.78787878787877963</v>
      </c>
      <c r="I5" s="46">
        <v>0</v>
      </c>
      <c r="J5" s="46">
        <v>0</v>
      </c>
      <c r="K5" s="5" t="b">
        <f t="array" ref="K5">IFERROR(OR(ABS(I5)&gt;=4, ABS(J5)&gt;=4),FALSE())</f>
        <v>0</v>
      </c>
      <c r="L5" s="5">
        <v>0</v>
      </c>
      <c r="M5" s="7">
        <f t="shared" ref="M5:M38" si="2">IF(P5="y","",C5)</f>
        <v>0.939393939393939</v>
      </c>
      <c r="N5" s="5">
        <v>1</v>
      </c>
      <c r="O5" s="5" t="str">
        <f t="shared" ref="O5:O38" si="3">IF(C5&gt;=G5,"Yes","No")</f>
        <v>No</v>
      </c>
      <c r="P5" s="47"/>
      <c r="R5" s="48" t="s">
        <v>4</v>
      </c>
      <c r="S5" s="49">
        <v>0.95</v>
      </c>
    </row>
    <row r="6" spans="1:19" ht="15" customHeight="1" x14ac:dyDescent="0.35">
      <c r="A6" s="50">
        <f>'Raw-Data'!I38</f>
        <v>46187</v>
      </c>
      <c r="B6" s="51">
        <f>'Raw-Data'!J38</f>
        <v>112</v>
      </c>
      <c r="C6" s="52">
        <f>'Raw-Data'!K38</f>
        <v>0.9375</v>
      </c>
      <c r="D6" s="52">
        <f ca="1">IF(NOT($K5),D5,AVERAGE(OFFSET($M5,-1*MAX($L5,N5),0):OFFSET($M5,0,0)))</f>
        <v>0.9</v>
      </c>
      <c r="E6" s="53">
        <f ca="1">IF(NOT($K5),E5,IFERROR(STDEV(OFFSET($M5,-1*MAX($L5,N5),0):OFFSET($M5,0,0)),E5))</f>
        <v>0.05</v>
      </c>
      <c r="F6" s="52">
        <f t="shared" ca="1" si="0"/>
        <v>0.81495799357292387</v>
      </c>
      <c r="G6" s="54">
        <v>0.95</v>
      </c>
      <c r="H6" s="55">
        <f t="shared" ca="1" si="1"/>
        <v>0.74999999999999956</v>
      </c>
      <c r="I6" s="55">
        <f t="shared" ref="I6:I38" ca="1" si="4">IF(P6="y",I5,IF(K5,0,MAX(0,I5+H6-0.5)))</f>
        <v>0.24999999999999956</v>
      </c>
      <c r="J6" s="55">
        <f t="shared" ref="J6:J38" ca="1" si="5">IF(P6="y",J5,IF(K5,0,MAX(0,J5-H6+0.5)))</f>
        <v>0</v>
      </c>
      <c r="K6" s="51" t="b">
        <f t="array" aca="1" ref="K6" ca="1">IFERROR(OR(ABS(I6)&gt;=4, ABS(J6)&gt;=4),FALSE())</f>
        <v>0</v>
      </c>
      <c r="L6" s="51">
        <f t="shared" ref="L6:L38" si="6">IF(K5,0,L5+1)</f>
        <v>1</v>
      </c>
      <c r="M6" s="52">
        <f t="shared" si="2"/>
        <v>0.9375</v>
      </c>
      <c r="N6" s="51">
        <f t="shared" ref="N6:N38" si="7">MIN(5,N5+1)</f>
        <v>2</v>
      </c>
      <c r="O6" s="51" t="str">
        <f t="shared" si="3"/>
        <v>No</v>
      </c>
      <c r="P6" s="47"/>
      <c r="R6" s="48" t="s">
        <v>46</v>
      </c>
      <c r="S6" s="56">
        <v>34</v>
      </c>
    </row>
    <row r="7" spans="1:19" ht="15" customHeight="1" x14ac:dyDescent="0.35">
      <c r="A7" s="44">
        <f>'Raw-Data'!I37</f>
        <v>46188</v>
      </c>
      <c r="B7" s="5">
        <f>'Raw-Data'!J37</f>
        <v>101</v>
      </c>
      <c r="C7" s="7">
        <f>'Raw-Data'!K37</f>
        <v>0.90804597701149403</v>
      </c>
      <c r="D7" s="7">
        <f ca="1">IF(NOT($K6),D6,AVERAGE(OFFSET($M6,-1*MAX($L6,N6),0):OFFSET($M6,0,0)))</f>
        <v>0.9</v>
      </c>
      <c r="E7" s="45">
        <f ca="1">IF(NOT($K6),E6,IFERROR(STDEV(OFFSET($M6,-1*MAX($L6,N6),0):OFFSET($M6,0,0)),E6))</f>
        <v>0.05</v>
      </c>
      <c r="F7" s="7">
        <f t="shared" ca="1" si="0"/>
        <v>0.81044665288110096</v>
      </c>
      <c r="G7" s="6">
        <v>0.95</v>
      </c>
      <c r="H7" s="46">
        <f t="shared" ca="1" si="1"/>
        <v>0.1609195402298802</v>
      </c>
      <c r="I7" s="46">
        <f t="shared" ca="1" si="4"/>
        <v>0</v>
      </c>
      <c r="J7" s="46">
        <f t="shared" ca="1" si="5"/>
        <v>0.3390804597701198</v>
      </c>
      <c r="K7" s="5" t="b">
        <f t="array" aca="1" ref="K7" ca="1">IFERROR(OR(ABS(I7)&gt;=4, ABS(J7)&gt;=4),FALSE())</f>
        <v>0</v>
      </c>
      <c r="L7" s="5">
        <f t="shared" ca="1" si="6"/>
        <v>2</v>
      </c>
      <c r="M7" s="7">
        <f t="shared" si="2"/>
        <v>0.90804597701149403</v>
      </c>
      <c r="N7" s="5">
        <f t="shared" si="7"/>
        <v>3</v>
      </c>
      <c r="O7" s="5" t="str">
        <f t="shared" si="3"/>
        <v>No</v>
      </c>
      <c r="P7" s="47"/>
      <c r="R7" s="48" t="s">
        <v>47</v>
      </c>
      <c r="S7" s="56">
        <f ca="1">COUNTIF(K5:K38,TRUE())</f>
        <v>3</v>
      </c>
    </row>
    <row r="8" spans="1:19" ht="15" customHeight="1" x14ac:dyDescent="0.35">
      <c r="A8" s="50">
        <f>'Raw-Data'!I36</f>
        <v>46189</v>
      </c>
      <c r="B8" s="51">
        <f>'Raw-Data'!J36</f>
        <v>114</v>
      </c>
      <c r="C8" s="52">
        <f>'Raw-Data'!K36</f>
        <v>0.93548387096774099</v>
      </c>
      <c r="D8" s="52">
        <f ca="1">IF(NOT($K7),D7,AVERAGE(OFFSET($M7,-1*MAX($L7,N7),0):OFFSET($M7,0,0)))</f>
        <v>0.9</v>
      </c>
      <c r="E8" s="53">
        <f ca="1">IF(NOT($K7),E7,IFERROR(STDEV(OFFSET($M7,-1*MAX($L7,N7),0):OFFSET($M7,0,0)),E7))</f>
        <v>0.05</v>
      </c>
      <c r="F8" s="52">
        <f t="shared" ca="1" si="0"/>
        <v>0.81570727695764755</v>
      </c>
      <c r="G8" s="54">
        <v>0.95</v>
      </c>
      <c r="H8" s="55">
        <f t="shared" ca="1" si="1"/>
        <v>0.70967741935481943</v>
      </c>
      <c r="I8" s="55">
        <f t="shared" ca="1" si="4"/>
        <v>0.20967741935481943</v>
      </c>
      <c r="J8" s="55">
        <f t="shared" ca="1" si="5"/>
        <v>0.12940304041530037</v>
      </c>
      <c r="K8" s="51" t="b">
        <f t="array" aca="1" ref="K8" ca="1">IFERROR(OR(ABS(I8)&gt;=4, ABS(J8)&gt;=4),FALSE())</f>
        <v>0</v>
      </c>
      <c r="L8" s="51">
        <f t="shared" ca="1" si="6"/>
        <v>3</v>
      </c>
      <c r="M8" s="52">
        <f t="shared" si="2"/>
        <v>0.93548387096774099</v>
      </c>
      <c r="N8" s="51">
        <f t="shared" si="7"/>
        <v>4</v>
      </c>
      <c r="O8" s="51" t="str">
        <f t="shared" si="3"/>
        <v>No</v>
      </c>
      <c r="P8" s="47"/>
      <c r="R8" s="48" t="s">
        <v>48</v>
      </c>
      <c r="S8" s="57" t="str">
        <f>COUNTIF(O5:O38,"Yes")&amp;"/"&amp;34</f>
        <v>8/34</v>
      </c>
    </row>
    <row r="9" spans="1:19" ht="15" customHeight="1" x14ac:dyDescent="0.35">
      <c r="A9" s="44">
        <f>'Raw-Data'!I35</f>
        <v>46190</v>
      </c>
      <c r="B9" s="5">
        <f>'Raw-Data'!J35</f>
        <v>104</v>
      </c>
      <c r="C9" s="7">
        <f>'Raw-Data'!K35</f>
        <v>0.87951807228915602</v>
      </c>
      <c r="D9" s="7">
        <f ca="1">IF(NOT($K8),D8,AVERAGE(OFFSET($M8,-1*MAX($L8,N8),0):OFFSET($M8,0,0)))</f>
        <v>0.9</v>
      </c>
      <c r="E9" s="45">
        <f ca="1">IF(NOT($K8),E8,IFERROR(STDEV(OFFSET($M8,-1*MAX($L8,N8),0):OFFSET($M8,0,0)),E8))</f>
        <v>0.05</v>
      </c>
      <c r="F9" s="7">
        <f t="shared" ca="1" si="0"/>
        <v>0.81174773918781717</v>
      </c>
      <c r="G9" s="6">
        <v>0.95</v>
      </c>
      <c r="H9" s="46">
        <f t="shared" ca="1" si="1"/>
        <v>-0.40963855421688011</v>
      </c>
      <c r="I9" s="46">
        <f t="shared" ca="1" si="4"/>
        <v>0</v>
      </c>
      <c r="J9" s="46">
        <f t="shared" ca="1" si="5"/>
        <v>1.0390415946321805</v>
      </c>
      <c r="K9" s="5" t="b">
        <f t="array" aca="1" ref="K9" ca="1">IFERROR(OR(ABS(I9)&gt;=4, ABS(J9)&gt;=4),FALSE())</f>
        <v>0</v>
      </c>
      <c r="L9" s="5">
        <f t="shared" ca="1" si="6"/>
        <v>4</v>
      </c>
      <c r="M9" s="7">
        <f t="shared" si="2"/>
        <v>0.87951807228915602</v>
      </c>
      <c r="N9" s="5">
        <f t="shared" si="7"/>
        <v>5</v>
      </c>
      <c r="O9" s="5" t="str">
        <f t="shared" si="3"/>
        <v>No</v>
      </c>
      <c r="P9" s="47"/>
      <c r="R9" s="48" t="s">
        <v>49</v>
      </c>
      <c r="S9" s="58">
        <f>AVERAGE(C5:C38)</f>
        <v>0.90215234495937235</v>
      </c>
    </row>
    <row r="10" spans="1:19" ht="15" customHeight="1" x14ac:dyDescent="0.35">
      <c r="A10" s="50">
        <f>'Raw-Data'!I34</f>
        <v>46191</v>
      </c>
      <c r="B10" s="51">
        <f>'Raw-Data'!J34</f>
        <v>95</v>
      </c>
      <c r="C10" s="52">
        <f>'Raw-Data'!K34</f>
        <v>0.95294117647058796</v>
      </c>
      <c r="D10" s="52">
        <f ca="1">IF(NOT($K9),D9,AVERAGE(OFFSET($M9,-1*MAX($L9,N9),0):OFFSET($M9,0,0)))</f>
        <v>0.9</v>
      </c>
      <c r="E10" s="53">
        <f ca="1">IF(NOT($K9),E9,IFERROR(STDEV(OFFSET($M9,-1*MAX($L9,N9),0):OFFSET($M9,0,0)),E9))</f>
        <v>0.05</v>
      </c>
      <c r="F10" s="52">
        <f t="shared" ca="1" si="0"/>
        <v>0.80766194831233618</v>
      </c>
      <c r="G10" s="54">
        <v>0.95</v>
      </c>
      <c r="H10" s="55">
        <f t="shared" ca="1" si="1"/>
        <v>1.0588235294117587</v>
      </c>
      <c r="I10" s="55">
        <f t="shared" ca="1" si="4"/>
        <v>0.55882352941175872</v>
      </c>
      <c r="J10" s="55">
        <f t="shared" ca="1" si="5"/>
        <v>0.48021806522042176</v>
      </c>
      <c r="K10" s="51" t="b">
        <f t="array" aca="1" ref="K10" ca="1">IFERROR(OR(ABS(I10)&gt;=4, ABS(J10)&gt;=4),FALSE())</f>
        <v>0</v>
      </c>
      <c r="L10" s="51">
        <f t="shared" ca="1" si="6"/>
        <v>5</v>
      </c>
      <c r="M10" s="52">
        <f t="shared" si="2"/>
        <v>0.95294117647058796</v>
      </c>
      <c r="N10" s="51">
        <f t="shared" si="7"/>
        <v>5</v>
      </c>
      <c r="O10" s="51" t="str">
        <f t="shared" si="3"/>
        <v>Yes</v>
      </c>
      <c r="P10" s="47"/>
      <c r="R10" s="48" t="s">
        <v>50</v>
      </c>
      <c r="S10" s="58">
        <f>AVERAGE(C5:C38)-G5</f>
        <v>-4.7847655040627601E-2</v>
      </c>
    </row>
    <row r="11" spans="1:19" ht="15" customHeight="1" x14ac:dyDescent="0.35">
      <c r="A11" s="44">
        <f>'Raw-Data'!I33</f>
        <v>46192</v>
      </c>
      <c r="B11" s="5">
        <f>'Raw-Data'!J33</f>
        <v>107</v>
      </c>
      <c r="C11" s="7">
        <f>'Raw-Data'!K33</f>
        <v>0.87234042553191404</v>
      </c>
      <c r="D11" s="7">
        <f ca="1">IF(NOT($K10),D10,AVERAGE(OFFSET($M10,-1*MAX($L10,N10),0):OFFSET($M10,0,0)))</f>
        <v>0.9</v>
      </c>
      <c r="E11" s="45">
        <f ca="1">IF(NOT($K10),E10,IFERROR(STDEV(OFFSET($M10,-1*MAX($L10,N10),0):OFFSET($M10,0,0)),E10))</f>
        <v>0.05</v>
      </c>
      <c r="F11" s="7">
        <f t="shared" ca="1" si="0"/>
        <v>0.81299371598589032</v>
      </c>
      <c r="G11" s="6">
        <v>0.95</v>
      </c>
      <c r="H11" s="46">
        <f t="shared" ca="1" si="1"/>
        <v>-0.55319148936171958</v>
      </c>
      <c r="I11" s="46">
        <f t="shared" ca="1" si="4"/>
        <v>0</v>
      </c>
      <c r="J11" s="46">
        <f t="shared" ca="1" si="5"/>
        <v>1.5334095545821413</v>
      </c>
      <c r="K11" s="5" t="b">
        <f t="array" aca="1" ref="K11" ca="1">IFERROR(OR(ABS(I11)&gt;=4, ABS(J11)&gt;=4),FALSE())</f>
        <v>0</v>
      </c>
      <c r="L11" s="5">
        <f t="shared" ca="1" si="6"/>
        <v>6</v>
      </c>
      <c r="M11" s="7">
        <f t="shared" si="2"/>
        <v>0.87234042553191404</v>
      </c>
      <c r="N11" s="5">
        <f t="shared" si="7"/>
        <v>5</v>
      </c>
      <c r="O11" s="5" t="str">
        <f t="shared" si="3"/>
        <v>No</v>
      </c>
      <c r="P11" s="47"/>
      <c r="R11" s="48" t="s">
        <v>51</v>
      </c>
      <c r="S11" s="58">
        <f ca="1">D38</f>
        <v>0.91994261813613876</v>
      </c>
    </row>
    <row r="12" spans="1:19" ht="15" customHeight="1" x14ac:dyDescent="0.35">
      <c r="A12" s="50">
        <f>'Raw-Data'!I32</f>
        <v>46193</v>
      </c>
      <c r="B12" s="51">
        <f>'Raw-Data'!J32</f>
        <v>130</v>
      </c>
      <c r="C12" s="52">
        <f>'Raw-Data'!K32</f>
        <v>0.62280701754385903</v>
      </c>
      <c r="D12" s="52">
        <f ca="1">IF(NOT($K11),D11,AVERAGE(OFFSET($M11,-1*MAX($L11,N11),0):OFFSET($M11,0,0)))</f>
        <v>0.9</v>
      </c>
      <c r="E12" s="53">
        <f ca="1">IF(NOT($K11),E11,IFERROR(STDEV(OFFSET($M11,-1*MAX($L11,N11),0):OFFSET($M11,0,0)),E11))</f>
        <v>0.05</v>
      </c>
      <c r="F12" s="52">
        <f t="shared" ca="1" si="0"/>
        <v>0.82106477826236746</v>
      </c>
      <c r="G12" s="54">
        <v>0.95</v>
      </c>
      <c r="H12" s="55">
        <f t="shared" ca="1" si="1"/>
        <v>-5.5438596491228198</v>
      </c>
      <c r="I12" s="55">
        <f t="shared" ca="1" si="4"/>
        <v>0</v>
      </c>
      <c r="J12" s="55">
        <f t="shared" ca="1" si="5"/>
        <v>7.5772692037049616</v>
      </c>
      <c r="K12" s="51" t="b">
        <f t="array" aca="1" ref="K12" ca="1">IFERROR(OR(ABS(I12)&gt;=4, ABS(J12)&gt;=4),FALSE())</f>
        <v>1</v>
      </c>
      <c r="L12" s="51">
        <f t="shared" ca="1" si="6"/>
        <v>7</v>
      </c>
      <c r="M12" s="52">
        <f t="shared" si="2"/>
        <v>0.62280701754385903</v>
      </c>
      <c r="N12" s="51">
        <f t="shared" si="7"/>
        <v>5</v>
      </c>
      <c r="O12" s="51" t="str">
        <f t="shared" si="3"/>
        <v>No</v>
      </c>
      <c r="P12" s="47"/>
      <c r="R12" s="48" t="s">
        <v>52</v>
      </c>
      <c r="S12" s="58">
        <f ca="1">F38</f>
        <v>0.85013017100852251</v>
      </c>
    </row>
    <row r="13" spans="1:19" ht="15" customHeight="1" x14ac:dyDescent="0.35">
      <c r="A13" s="44">
        <f>'Raw-Data'!I31</f>
        <v>46194</v>
      </c>
      <c r="B13" s="5">
        <f>'Raw-Data'!J31</f>
        <v>133</v>
      </c>
      <c r="C13" s="7">
        <f>'Raw-Data'!K31</f>
        <v>0.84745762711864403</v>
      </c>
      <c r="D13" s="7">
        <f ca="1">IF(NOT($K12),D12,AVERAGE(OFFSET($M12,-1*MAX($L12,N12),0):OFFSET($M12,0,0)))</f>
        <v>0.8810038099010864</v>
      </c>
      <c r="E13" s="45">
        <f ca="1">IF(NOT($K12),E12,IFERROR(STDEV(OFFSET($M12,-1*MAX($L12,N12),0):OFFSET($M12,0,0)),E12))</f>
        <v>0.10837660034160917</v>
      </c>
      <c r="F13" s="7">
        <f t="shared" ca="1" si="0"/>
        <v>0.79677690228437215</v>
      </c>
      <c r="G13" s="6">
        <v>0.95</v>
      </c>
      <c r="H13" s="46">
        <f t="shared" ca="1" si="1"/>
        <v>-0.30953344796480886</v>
      </c>
      <c r="I13" s="46">
        <f t="shared" ca="1" si="4"/>
        <v>0</v>
      </c>
      <c r="J13" s="46">
        <f t="shared" ca="1" si="5"/>
        <v>0</v>
      </c>
      <c r="K13" s="5" t="b">
        <f t="array" aca="1" ref="K13" ca="1">IFERROR(OR(ABS(I13)&gt;=4, ABS(J13)&gt;=4),FALSE())</f>
        <v>0</v>
      </c>
      <c r="L13" s="5">
        <f t="shared" ca="1" si="6"/>
        <v>0</v>
      </c>
      <c r="M13" s="7">
        <f t="shared" si="2"/>
        <v>0.84745762711864403</v>
      </c>
      <c r="N13" s="5">
        <f t="shared" si="7"/>
        <v>5</v>
      </c>
      <c r="O13" s="5" t="str">
        <f t="shared" si="3"/>
        <v>No</v>
      </c>
      <c r="P13" s="47"/>
    </row>
    <row r="14" spans="1:19" ht="15" customHeight="1" x14ac:dyDescent="0.35">
      <c r="A14" s="50">
        <f>'Raw-Data'!I30</f>
        <v>46195</v>
      </c>
      <c r="B14" s="51">
        <f>'Raw-Data'!J30</f>
        <v>100</v>
      </c>
      <c r="C14" s="52">
        <f>'Raw-Data'!K30</f>
        <v>0.86813186813186805</v>
      </c>
      <c r="D14" s="52">
        <f ca="1">IF(NOT($K13),D13,AVERAGE(OFFSET($M13,-1*MAX($L13,N13),0):OFFSET($M13,0,0)))</f>
        <v>0.8810038099010864</v>
      </c>
      <c r="E14" s="53">
        <f ca="1">IF(NOT($K13),E13,IFERROR(STDEV(OFFSET($M13,-1*MAX($L13,N13),0):OFFSET($M13,0,0)),E13))</f>
        <v>0.10837660034160917</v>
      </c>
      <c r="F14" s="52">
        <f t="shared" ca="1" si="0"/>
        <v>0.78386860147655524</v>
      </c>
      <c r="G14" s="54">
        <v>0.95</v>
      </c>
      <c r="H14" s="55">
        <f t="shared" ca="1" si="1"/>
        <v>-0.11877048854314737</v>
      </c>
      <c r="I14" s="55">
        <f t="shared" ca="1" si="4"/>
        <v>0</v>
      </c>
      <c r="J14" s="55">
        <f t="shared" ca="1" si="5"/>
        <v>0.61877048854314731</v>
      </c>
      <c r="K14" s="51" t="b">
        <f t="array" aca="1" ref="K14" ca="1">IFERROR(OR(ABS(I14)&gt;=4, ABS(J14)&gt;=4),FALSE())</f>
        <v>0</v>
      </c>
      <c r="L14" s="51">
        <f t="shared" ca="1" si="6"/>
        <v>1</v>
      </c>
      <c r="M14" s="52">
        <f t="shared" si="2"/>
        <v>0.86813186813186805</v>
      </c>
      <c r="N14" s="51">
        <f t="shared" si="7"/>
        <v>5</v>
      </c>
      <c r="O14" s="51" t="str">
        <f t="shared" si="3"/>
        <v>No</v>
      </c>
      <c r="P14" s="47"/>
    </row>
    <row r="15" spans="1:19" ht="15" customHeight="1" x14ac:dyDescent="0.35">
      <c r="A15" s="44">
        <f>'Raw-Data'!I29</f>
        <v>46196</v>
      </c>
      <c r="B15" s="5">
        <f>'Raw-Data'!J29</f>
        <v>126</v>
      </c>
      <c r="C15" s="7">
        <f>'Raw-Data'!K29</f>
        <v>0.75961538461538403</v>
      </c>
      <c r="D15" s="7">
        <f ca="1">IF(NOT($K14),D14,AVERAGE(OFFSET($M14,-1*MAX($L14,N14),0):OFFSET($M14,0,0)))</f>
        <v>0.8810038099010864</v>
      </c>
      <c r="E15" s="45">
        <f ca="1">IF(NOT($K14),E14,IFERROR(STDEV(OFFSET($M14,-1*MAX($L14,N14),0):OFFSET($M14,0,0)),E14))</f>
        <v>0.10837660034160917</v>
      </c>
      <c r="F15" s="7">
        <f t="shared" ca="1" si="0"/>
        <v>0.79446888844454511</v>
      </c>
      <c r="G15" s="6">
        <v>0.95</v>
      </c>
      <c r="H15" s="46">
        <f t="shared" ca="1" si="1"/>
        <v>-1.1200612023543752</v>
      </c>
      <c r="I15" s="46">
        <f t="shared" ca="1" si="4"/>
        <v>0</v>
      </c>
      <c r="J15" s="46">
        <f t="shared" ca="1" si="5"/>
        <v>2.2388316908975225</v>
      </c>
      <c r="K15" s="5" t="b">
        <f t="array" aca="1" ref="K15" ca="1">IFERROR(OR(ABS(I15)&gt;=4, ABS(J15)&gt;=4),FALSE())</f>
        <v>0</v>
      </c>
      <c r="L15" s="5">
        <f t="shared" ca="1" si="6"/>
        <v>2</v>
      </c>
      <c r="M15" s="7">
        <f t="shared" si="2"/>
        <v>0.75961538461538403</v>
      </c>
      <c r="N15" s="5">
        <f t="shared" si="7"/>
        <v>5</v>
      </c>
      <c r="O15" s="5" t="str">
        <f t="shared" si="3"/>
        <v>No</v>
      </c>
      <c r="P15" s="47"/>
    </row>
    <row r="16" spans="1:19" ht="15" customHeight="1" x14ac:dyDescent="0.35">
      <c r="A16" s="50">
        <f>'Raw-Data'!I28</f>
        <v>46197</v>
      </c>
      <c r="B16" s="51">
        <f>'Raw-Data'!J28</f>
        <v>105</v>
      </c>
      <c r="C16" s="52">
        <f>'Raw-Data'!K28</f>
        <v>0.78651685393258397</v>
      </c>
      <c r="D16" s="52">
        <f ca="1">IF(NOT($K15),D15,AVERAGE(OFFSET($M15,-1*MAX($L15,N15),0):OFFSET($M15,0,0)))</f>
        <v>0.8810038099010864</v>
      </c>
      <c r="E16" s="53">
        <f ca="1">IF(NOT($K15),E15,IFERROR(STDEV(OFFSET($M15,-1*MAX($L15,N15),0):OFFSET($M15,0,0)),E15))</f>
        <v>0.10837660034160917</v>
      </c>
      <c r="F16" s="52">
        <f t="shared" ca="1" si="0"/>
        <v>0.78620955291371541</v>
      </c>
      <c r="G16" s="54">
        <v>0.95</v>
      </c>
      <c r="H16" s="55">
        <f t="shared" ca="1" si="1"/>
        <v>-0.87183908399667642</v>
      </c>
      <c r="I16" s="55">
        <f t="shared" ca="1" si="4"/>
        <v>0</v>
      </c>
      <c r="J16" s="55">
        <f t="shared" ca="1" si="5"/>
        <v>3.6106707748941989</v>
      </c>
      <c r="K16" s="51" t="b">
        <f t="array" aca="1" ref="K16" ca="1">IFERROR(OR(ABS(I16)&gt;=4, ABS(J16)&gt;=4),FALSE())</f>
        <v>0</v>
      </c>
      <c r="L16" s="51">
        <f t="shared" ca="1" si="6"/>
        <v>3</v>
      </c>
      <c r="M16" s="52">
        <f t="shared" si="2"/>
        <v>0.78651685393258397</v>
      </c>
      <c r="N16" s="51">
        <f t="shared" si="7"/>
        <v>5</v>
      </c>
      <c r="O16" s="51" t="str">
        <f t="shared" si="3"/>
        <v>No</v>
      </c>
      <c r="P16" s="47"/>
    </row>
    <row r="17" spans="1:16" ht="15" customHeight="1" x14ac:dyDescent="0.35">
      <c r="A17" s="44">
        <f>'Raw-Data'!I27</f>
        <v>46198</v>
      </c>
      <c r="B17" s="5">
        <f>'Raw-Data'!J27</f>
        <v>106</v>
      </c>
      <c r="C17" s="7">
        <f>'Raw-Data'!K27</f>
        <v>0.956989247311828</v>
      </c>
      <c r="D17" s="7">
        <f ca="1">IF(NOT($K16),D16,AVERAGE(OFFSET($M16,-1*MAX($L16,N16),0):OFFSET($M16,0,0)))</f>
        <v>0.8810038099010864</v>
      </c>
      <c r="E17" s="45">
        <f ca="1">IF(NOT($K16),E16,IFERROR(STDEV(OFFSET($M16,-1*MAX($L16,N16),0):OFFSET($M16,0,0)),E16))</f>
        <v>0.10837660034160917</v>
      </c>
      <c r="F17" s="7">
        <f t="shared" ca="1" si="0"/>
        <v>0.78665775522121306</v>
      </c>
      <c r="G17" s="6">
        <v>0.95</v>
      </c>
      <c r="H17" s="46">
        <f t="shared" ca="1" si="1"/>
        <v>0.70112401728077089</v>
      </c>
      <c r="I17" s="46">
        <f t="shared" ca="1" si="4"/>
        <v>0.20112401728077089</v>
      </c>
      <c r="J17" s="46">
        <f t="shared" ca="1" si="5"/>
        <v>3.4095467576134277</v>
      </c>
      <c r="K17" s="5" t="b">
        <f t="array" aca="1" ref="K17" ca="1">IFERROR(OR(ABS(I17)&gt;=4, ABS(J17)&gt;=4),FALSE())</f>
        <v>0</v>
      </c>
      <c r="L17" s="5">
        <f t="shared" ca="1" si="6"/>
        <v>4</v>
      </c>
      <c r="M17" s="7">
        <f t="shared" si="2"/>
        <v>0.956989247311828</v>
      </c>
      <c r="N17" s="5">
        <f t="shared" si="7"/>
        <v>5</v>
      </c>
      <c r="O17" s="5" t="str">
        <f t="shared" si="3"/>
        <v>Yes</v>
      </c>
      <c r="P17" s="47"/>
    </row>
    <row r="18" spans="1:16" ht="15" customHeight="1" x14ac:dyDescent="0.35">
      <c r="A18" s="50">
        <f>'Raw-Data'!I26</f>
        <v>46199</v>
      </c>
      <c r="B18" s="51">
        <f>'Raw-Data'!J26</f>
        <v>128</v>
      </c>
      <c r="C18" s="52">
        <f>'Raw-Data'!K26</f>
        <v>0.90291262135922301</v>
      </c>
      <c r="D18" s="52">
        <f ca="1">IF(NOT($K17),D17,AVERAGE(OFFSET($M17,-1*MAX($L17,N17),0):OFFSET($M17,0,0)))</f>
        <v>0.8810038099010864</v>
      </c>
      <c r="E18" s="53">
        <f ca="1">IF(NOT($K17),E17,IFERROR(STDEV(OFFSET($M17,-1*MAX($L17,N17),0):OFFSET($M17,0,0)),E17))</f>
        <v>0.10837660034160917</v>
      </c>
      <c r="F18" s="52">
        <f t="shared" ca="1" si="0"/>
        <v>0.79514760418989305</v>
      </c>
      <c r="G18" s="54">
        <v>0.95</v>
      </c>
      <c r="H18" s="55">
        <f t="shared" ca="1" si="1"/>
        <v>0.20215444467789909</v>
      </c>
      <c r="I18" s="55">
        <f t="shared" ca="1" si="4"/>
        <v>0</v>
      </c>
      <c r="J18" s="55">
        <f t="shared" ca="1" si="5"/>
        <v>3.7073923129355286</v>
      </c>
      <c r="K18" s="51" t="b">
        <f t="array" aca="1" ref="K18" ca="1">IFERROR(OR(ABS(I18)&gt;=4, ABS(J18)&gt;=4),FALSE())</f>
        <v>0</v>
      </c>
      <c r="L18" s="51">
        <f t="shared" ca="1" si="6"/>
        <v>5</v>
      </c>
      <c r="M18" s="52">
        <f t="shared" si="2"/>
        <v>0.90291262135922301</v>
      </c>
      <c r="N18" s="51">
        <f t="shared" si="7"/>
        <v>5</v>
      </c>
      <c r="O18" s="51" t="str">
        <f t="shared" si="3"/>
        <v>No</v>
      </c>
      <c r="P18" s="47"/>
    </row>
    <row r="19" spans="1:16" ht="15" customHeight="1" x14ac:dyDescent="0.35">
      <c r="A19" s="44">
        <f>'Raw-Data'!I25</f>
        <v>46200</v>
      </c>
      <c r="B19" s="5">
        <f>'Raw-Data'!J25</f>
        <v>122</v>
      </c>
      <c r="C19" s="7">
        <f>'Raw-Data'!K25</f>
        <v>0.842592592592592</v>
      </c>
      <c r="D19" s="7">
        <f ca="1">IF(NOT($K18),D18,AVERAGE(OFFSET($M18,-1*MAX($L18,N18),0):OFFSET($M18,0,0)))</f>
        <v>0.8810038099010864</v>
      </c>
      <c r="E19" s="45">
        <f ca="1">IF(NOT($K18),E18,IFERROR(STDEV(OFFSET($M18,-1*MAX($L18,N18),0):OFFSET($M18,0,0)),E18))</f>
        <v>0.10837660034160917</v>
      </c>
      <c r="F19" s="7">
        <f t="shared" ca="1" si="0"/>
        <v>0.79306172428398181</v>
      </c>
      <c r="G19" s="6">
        <v>0.95</v>
      </c>
      <c r="H19" s="46">
        <f t="shared" ca="1" si="1"/>
        <v>-0.35442353042464947</v>
      </c>
      <c r="I19" s="46">
        <f t="shared" ca="1" si="4"/>
        <v>0</v>
      </c>
      <c r="J19" s="46">
        <f t="shared" ca="1" si="5"/>
        <v>4.5618158433601783</v>
      </c>
      <c r="K19" s="5" t="b">
        <f t="array" aca="1" ref="K19" ca="1">IFERROR(OR(ABS(I19)&gt;=4, ABS(J19)&gt;=4),FALSE())</f>
        <v>1</v>
      </c>
      <c r="L19" s="5">
        <f t="shared" ca="1" si="6"/>
        <v>6</v>
      </c>
      <c r="M19" s="7">
        <f t="shared" si="2"/>
        <v>0.842592592592592</v>
      </c>
      <c r="N19" s="5">
        <f t="shared" si="7"/>
        <v>5</v>
      </c>
      <c r="O19" s="5" t="str">
        <f t="shared" si="3"/>
        <v>No</v>
      </c>
      <c r="P19" s="47"/>
    </row>
    <row r="20" spans="1:16" ht="15" customHeight="1" x14ac:dyDescent="0.35">
      <c r="A20" s="50">
        <f>'Raw-Data'!I24</f>
        <v>46201</v>
      </c>
      <c r="B20" s="51">
        <f>'Raw-Data'!J24</f>
        <v>102</v>
      </c>
      <c r="C20" s="52">
        <f>'Raw-Data'!K24</f>
        <v>0.95555555555555505</v>
      </c>
      <c r="D20" s="52">
        <f ca="1">IF(NOT($K19),D19,AVERAGE(OFFSET($M19,-1*MAX($L19,N19),0):OFFSET($M19,0,0)))</f>
        <v>0.85203088500887481</v>
      </c>
      <c r="E20" s="53">
        <f ca="1">IF(NOT($K19),E19,IFERROR(STDEV(OFFSET($M19,-1*MAX($L19,N19),0):OFFSET($M19,0,0)),E19))</f>
        <v>6.6842052134343244E-2</v>
      </c>
      <c r="F20" s="52">
        <f t="shared" ca="1" si="0"/>
        <v>0.74655956635393472</v>
      </c>
      <c r="G20" s="54">
        <v>0.95</v>
      </c>
      <c r="H20" s="55">
        <f t="shared" ca="1" si="1"/>
        <v>1.5487955148146861</v>
      </c>
      <c r="I20" s="55">
        <f t="shared" ca="1" si="4"/>
        <v>0</v>
      </c>
      <c r="J20" s="55">
        <f t="shared" ca="1" si="5"/>
        <v>0</v>
      </c>
      <c r="K20" s="51" t="b">
        <f t="array" aca="1" ref="K20" ca="1">IFERROR(OR(ABS(I20)&gt;=4, ABS(J20)&gt;=4),FALSE())</f>
        <v>0</v>
      </c>
      <c r="L20" s="51">
        <f t="shared" ca="1" si="6"/>
        <v>0</v>
      </c>
      <c r="M20" s="52">
        <f t="shared" si="2"/>
        <v>0.95555555555555505</v>
      </c>
      <c r="N20" s="51">
        <f t="shared" si="7"/>
        <v>5</v>
      </c>
      <c r="O20" s="51" t="str">
        <f t="shared" si="3"/>
        <v>Yes</v>
      </c>
      <c r="P20" s="47"/>
    </row>
    <row r="21" spans="1:16" ht="15" customHeight="1" x14ac:dyDescent="0.35">
      <c r="A21" s="44">
        <f>'Raw-Data'!I23</f>
        <v>46202</v>
      </c>
      <c r="B21" s="5">
        <f>'Raw-Data'!J23</f>
        <v>107</v>
      </c>
      <c r="C21" s="7">
        <f>'Raw-Data'!K23</f>
        <v>0.96629213483146004</v>
      </c>
      <c r="D21" s="7">
        <f ca="1">IF(NOT($K20),D20,AVERAGE(OFFSET($M20,-1*MAX($L20,N20),0):OFFSET($M20,0,0)))</f>
        <v>0.85203088500887481</v>
      </c>
      <c r="E21" s="45">
        <f ca="1">IF(NOT($K20),E20,IFERROR(STDEV(OFFSET($M20,-1*MAX($L20,N20),0):OFFSET($M20,0,0)),E20))</f>
        <v>6.6842052134343244E-2</v>
      </c>
      <c r="F21" s="7">
        <f t="shared" ca="1" si="0"/>
        <v>0.74905333079007375</v>
      </c>
      <c r="G21" s="6">
        <v>0.95</v>
      </c>
      <c r="H21" s="46">
        <f t="shared" ca="1" si="1"/>
        <v>1.7094216316539173</v>
      </c>
      <c r="I21" s="46">
        <f t="shared" ca="1" si="4"/>
        <v>1.2094216316539173</v>
      </c>
      <c r="J21" s="46">
        <f t="shared" ca="1" si="5"/>
        <v>0</v>
      </c>
      <c r="K21" s="5" t="b">
        <f t="array" aca="1" ref="K21" ca="1">IFERROR(OR(ABS(I21)&gt;=4, ABS(J21)&gt;=4),FALSE())</f>
        <v>0</v>
      </c>
      <c r="L21" s="5">
        <f t="shared" ca="1" si="6"/>
        <v>1</v>
      </c>
      <c r="M21" s="7">
        <f t="shared" si="2"/>
        <v>0.96629213483146004</v>
      </c>
      <c r="N21" s="5">
        <f t="shared" si="7"/>
        <v>5</v>
      </c>
      <c r="O21" s="5" t="str">
        <f t="shared" si="3"/>
        <v>Yes</v>
      </c>
      <c r="P21" s="47"/>
    </row>
    <row r="22" spans="1:16" ht="15" customHeight="1" x14ac:dyDescent="0.35">
      <c r="A22" s="50">
        <f>'Raw-Data'!I22</f>
        <v>46203</v>
      </c>
      <c r="B22" s="51">
        <f>'Raw-Data'!J22</f>
        <v>93</v>
      </c>
      <c r="C22" s="52">
        <f>'Raw-Data'!K22</f>
        <v>0.85897435897435803</v>
      </c>
      <c r="D22" s="52">
        <f ca="1">IF(NOT($K21),D21,AVERAGE(OFFSET($M21,-1*MAX($L21,N21),0):OFFSET($M21,0,0)))</f>
        <v>0.85203088500887481</v>
      </c>
      <c r="E22" s="53">
        <f ca="1">IF(NOT($K21),E21,IFERROR(STDEV(OFFSET($M21,-1*MAX($L21,N21),0):OFFSET($M21,0,0)),E21))</f>
        <v>6.6842052134343244E-2</v>
      </c>
      <c r="F22" s="52">
        <f t="shared" ca="1" si="0"/>
        <v>0.7415739501808607</v>
      </c>
      <c r="G22" s="54">
        <v>0.95</v>
      </c>
      <c r="H22" s="55">
        <f t="shared" ca="1" si="1"/>
        <v>0.10387882693259938</v>
      </c>
      <c r="I22" s="55">
        <f t="shared" ca="1" si="4"/>
        <v>0.81330045858651667</v>
      </c>
      <c r="J22" s="55">
        <f t="shared" ca="1" si="5"/>
        <v>0.39612117306740063</v>
      </c>
      <c r="K22" s="51" t="b">
        <f t="array" aca="1" ref="K22" ca="1">IFERROR(OR(ABS(I22)&gt;=4, ABS(J22)&gt;=4),FALSE())</f>
        <v>0</v>
      </c>
      <c r="L22" s="51">
        <f t="shared" ca="1" si="6"/>
        <v>2</v>
      </c>
      <c r="M22" s="52">
        <f t="shared" si="2"/>
        <v>0.85897435897435803</v>
      </c>
      <c r="N22" s="51">
        <f t="shared" si="7"/>
        <v>5</v>
      </c>
      <c r="O22" s="51" t="str">
        <f t="shared" si="3"/>
        <v>No</v>
      </c>
      <c r="P22" s="47"/>
    </row>
    <row r="23" spans="1:16" ht="15" customHeight="1" x14ac:dyDescent="0.35">
      <c r="A23" s="44">
        <f>'Raw-Data'!I21</f>
        <v>46204</v>
      </c>
      <c r="B23" s="5">
        <f>'Raw-Data'!J21</f>
        <v>118</v>
      </c>
      <c r="C23" s="7">
        <f>'Raw-Data'!K21</f>
        <v>0.93</v>
      </c>
      <c r="D23" s="7">
        <f ca="1">IF(NOT($K22),D22,AVERAGE(OFFSET($M22,-1*MAX($L22,N22),0):OFFSET($M22,0,0)))</f>
        <v>0.85203088500887481</v>
      </c>
      <c r="E23" s="45">
        <f ca="1">IF(NOT($K22),E22,IFERROR(STDEV(OFFSET($M22,-1*MAX($L22,N22),0):OFFSET($M22,0,0)),E22))</f>
        <v>6.6842052134343244E-2</v>
      </c>
      <c r="F23" s="7">
        <f t="shared" ca="1" si="0"/>
        <v>0.75397053071247366</v>
      </c>
      <c r="G23" s="6">
        <v>0.95</v>
      </c>
      <c r="H23" s="46">
        <f t="shared" ca="1" si="1"/>
        <v>1.1664680018264273</v>
      </c>
      <c r="I23" s="46">
        <f t="shared" ca="1" si="4"/>
        <v>1.479768460412944</v>
      </c>
      <c r="J23" s="46">
        <f t="shared" ca="1" si="5"/>
        <v>0</v>
      </c>
      <c r="K23" s="5" t="b">
        <f t="array" aca="1" ref="K23" ca="1">IFERROR(OR(ABS(I23)&gt;=4, ABS(J23)&gt;=4),FALSE())</f>
        <v>0</v>
      </c>
      <c r="L23" s="5">
        <f t="shared" ca="1" si="6"/>
        <v>3</v>
      </c>
      <c r="M23" s="7">
        <f t="shared" si="2"/>
        <v>0.93</v>
      </c>
      <c r="N23" s="5">
        <f t="shared" si="7"/>
        <v>5</v>
      </c>
      <c r="O23" s="5" t="str">
        <f t="shared" si="3"/>
        <v>No</v>
      </c>
      <c r="P23" s="47"/>
    </row>
    <row r="24" spans="1:16" ht="15" customHeight="1" x14ac:dyDescent="0.35">
      <c r="A24" s="50">
        <f>'Raw-Data'!I20</f>
        <v>46205</v>
      </c>
      <c r="B24" s="51">
        <f>'Raw-Data'!J20</f>
        <v>78</v>
      </c>
      <c r="C24" s="52">
        <f>'Raw-Data'!K20</f>
        <v>0.94117647058823495</v>
      </c>
      <c r="D24" s="52">
        <f ca="1">IF(NOT($K23),D23,AVERAGE(OFFSET($M23,-1*MAX($L23,N23),0):OFFSET($M23,0,0)))</f>
        <v>0.85203088500887481</v>
      </c>
      <c r="E24" s="53">
        <f ca="1">IF(NOT($K23),E23,IFERROR(STDEV(OFFSET($M23,-1*MAX($L23,N23),0):OFFSET($M23,0,0)),E23))</f>
        <v>6.6842052134343244E-2</v>
      </c>
      <c r="F24" s="52">
        <f t="shared" ca="1" si="0"/>
        <v>0.73141981777851506</v>
      </c>
      <c r="G24" s="54">
        <v>0.95</v>
      </c>
      <c r="H24" s="55">
        <f t="shared" ca="1" si="1"/>
        <v>1.3336751750258937</v>
      </c>
      <c r="I24" s="55">
        <f t="shared" ca="1" si="4"/>
        <v>2.3134436354388379</v>
      </c>
      <c r="J24" s="55">
        <f t="shared" ca="1" si="5"/>
        <v>0</v>
      </c>
      <c r="K24" s="51" t="b">
        <f t="array" aca="1" ref="K24" ca="1">IFERROR(OR(ABS(I24)&gt;=4, ABS(J24)&gt;=4),FALSE())</f>
        <v>0</v>
      </c>
      <c r="L24" s="51">
        <f t="shared" ca="1" si="6"/>
        <v>4</v>
      </c>
      <c r="M24" s="52">
        <f t="shared" si="2"/>
        <v>0.94117647058823495</v>
      </c>
      <c r="N24" s="51">
        <f t="shared" si="7"/>
        <v>5</v>
      </c>
      <c r="O24" s="51" t="str">
        <f t="shared" si="3"/>
        <v>No</v>
      </c>
      <c r="P24" s="47"/>
    </row>
    <row r="25" spans="1:16" ht="15" customHeight="1" x14ac:dyDescent="0.35">
      <c r="A25" s="44">
        <f>'Raw-Data'!I19</f>
        <v>46206</v>
      </c>
      <c r="B25" s="5">
        <f>'Raw-Data'!J19</f>
        <v>124</v>
      </c>
      <c r="C25" s="7">
        <f>'Raw-Data'!K19</f>
        <v>0.90654205607476601</v>
      </c>
      <c r="D25" s="7">
        <f ca="1">IF(NOT($K24),D24,AVERAGE(OFFSET($M24,-1*MAX($L24,N24),0):OFFSET($M24,0,0)))</f>
        <v>0.85203088500887481</v>
      </c>
      <c r="E25" s="45">
        <f ca="1">IF(NOT($K24),E24,IFERROR(STDEV(OFFSET($M24,-1*MAX($L24,N24),0):OFFSET($M24,0,0)),E24))</f>
        <v>6.6842052134343244E-2</v>
      </c>
      <c r="F25" s="7">
        <f t="shared" ca="1" si="0"/>
        <v>0.75637237342365249</v>
      </c>
      <c r="G25" s="6">
        <v>0.95</v>
      </c>
      <c r="H25" s="46">
        <f t="shared" ca="1" si="1"/>
        <v>0.8155221051013114</v>
      </c>
      <c r="I25" s="46">
        <f t="shared" ca="1" si="4"/>
        <v>2.6289657405401492</v>
      </c>
      <c r="J25" s="46">
        <f t="shared" ca="1" si="5"/>
        <v>0</v>
      </c>
      <c r="K25" s="5" t="b">
        <f t="array" aca="1" ref="K25" ca="1">IFERROR(OR(ABS(I25)&gt;=4, ABS(J25)&gt;=4),FALSE())</f>
        <v>0</v>
      </c>
      <c r="L25" s="5">
        <f t="shared" ca="1" si="6"/>
        <v>5</v>
      </c>
      <c r="M25" s="7">
        <f t="shared" si="2"/>
        <v>0.90654205607476601</v>
      </c>
      <c r="N25" s="5">
        <f t="shared" si="7"/>
        <v>5</v>
      </c>
      <c r="O25" s="5" t="str">
        <f t="shared" si="3"/>
        <v>No</v>
      </c>
      <c r="P25" s="47"/>
    </row>
    <row r="26" spans="1:16" ht="15" customHeight="1" x14ac:dyDescent="0.35">
      <c r="A26" s="50">
        <f>'Raw-Data'!I18</f>
        <v>46207</v>
      </c>
      <c r="B26" s="51">
        <f>'Raw-Data'!J18</f>
        <v>129</v>
      </c>
      <c r="C26" s="52">
        <f>'Raw-Data'!K18</f>
        <v>0.90654205607476601</v>
      </c>
      <c r="D26" s="52">
        <f ca="1">IF(NOT($K25),D25,AVERAGE(OFFSET($M25,-1*MAX($L25,N25),0):OFFSET($M25,0,0)))</f>
        <v>0.85203088500887481</v>
      </c>
      <c r="E26" s="53">
        <f ca="1">IF(NOT($K25),E25,IFERROR(STDEV(OFFSET($M25,-1*MAX($L25,N25),0):OFFSET($M25,0,0)),E25))</f>
        <v>6.6842052134343244E-2</v>
      </c>
      <c r="F26" s="52">
        <f t="shared" ca="1" si="0"/>
        <v>0.75824454098389316</v>
      </c>
      <c r="G26" s="54">
        <v>0.95</v>
      </c>
      <c r="H26" s="55">
        <f t="shared" ca="1" si="1"/>
        <v>0.8155221051013114</v>
      </c>
      <c r="I26" s="55">
        <f t="shared" ca="1" si="4"/>
        <v>2.9444878456414605</v>
      </c>
      <c r="J26" s="55">
        <f t="shared" ca="1" si="5"/>
        <v>0</v>
      </c>
      <c r="K26" s="51" t="b">
        <f t="array" aca="1" ref="K26" ca="1">IFERROR(OR(ABS(I26)&gt;=4, ABS(J26)&gt;=4),FALSE())</f>
        <v>0</v>
      </c>
      <c r="L26" s="51">
        <f t="shared" ca="1" si="6"/>
        <v>6</v>
      </c>
      <c r="M26" s="52">
        <f t="shared" si="2"/>
        <v>0.90654205607476601</v>
      </c>
      <c r="N26" s="51">
        <f t="shared" si="7"/>
        <v>5</v>
      </c>
      <c r="O26" s="51" t="str">
        <f t="shared" si="3"/>
        <v>No</v>
      </c>
      <c r="P26" s="47"/>
    </row>
    <row r="27" spans="1:16" ht="15" customHeight="1" x14ac:dyDescent="0.35">
      <c r="A27" s="44">
        <f>'Raw-Data'!I17</f>
        <v>46208</v>
      </c>
      <c r="B27" s="5">
        <f>'Raw-Data'!J17</f>
        <v>140</v>
      </c>
      <c r="C27" s="7">
        <f>'Raw-Data'!K17</f>
        <v>0.90322580645161199</v>
      </c>
      <c r="D27" s="7">
        <f ca="1">IF(NOT($K26),D26,AVERAGE(OFFSET($M26,-1*MAX($L26,N26),0):OFFSET($M26,0,0)))</f>
        <v>0.85203088500887481</v>
      </c>
      <c r="E27" s="45">
        <f ca="1">IF(NOT($K26),E26,IFERROR(STDEV(OFFSET($M26,-1*MAX($L26,N26),0):OFFSET($M26,0,0)),E26))</f>
        <v>6.6842052134343244E-2</v>
      </c>
      <c r="F27" s="7">
        <f t="shared" ca="1" si="0"/>
        <v>0.76200436891505086</v>
      </c>
      <c r="G27" s="6">
        <v>0.95</v>
      </c>
      <c r="H27" s="46">
        <f t="shared" ca="1" si="1"/>
        <v>0.76590888232818621</v>
      </c>
      <c r="I27" s="46">
        <f t="shared" ca="1" si="4"/>
        <v>3.2103967279696466</v>
      </c>
      <c r="J27" s="46">
        <f t="shared" ca="1" si="5"/>
        <v>0</v>
      </c>
      <c r="K27" s="5" t="b">
        <f t="array" aca="1" ref="K27" ca="1">IFERROR(OR(ABS(I27)&gt;=4, ABS(J27)&gt;=4),FALSE())</f>
        <v>0</v>
      </c>
      <c r="L27" s="5">
        <f t="shared" ca="1" si="6"/>
        <v>7</v>
      </c>
      <c r="M27" s="7">
        <f t="shared" si="2"/>
        <v>0.90322580645161199</v>
      </c>
      <c r="N27" s="5">
        <f t="shared" si="7"/>
        <v>5</v>
      </c>
      <c r="O27" s="5" t="str">
        <f t="shared" si="3"/>
        <v>No</v>
      </c>
      <c r="P27" s="47"/>
    </row>
    <row r="28" spans="1:16" ht="15" customHeight="1" x14ac:dyDescent="0.35">
      <c r="A28" s="50">
        <f>'Raw-Data'!I16</f>
        <v>46209</v>
      </c>
      <c r="B28" s="51">
        <f>'Raw-Data'!J16</f>
        <v>94</v>
      </c>
      <c r="C28" s="52">
        <f>'Raw-Data'!K16</f>
        <v>0.93421052631578905</v>
      </c>
      <c r="D28" s="52">
        <f ca="1">IF(NOT($K27),D27,AVERAGE(OFFSET($M27,-1*MAX($L27,N27),0):OFFSET($M27,0,0)))</f>
        <v>0.85203088500887481</v>
      </c>
      <c r="E28" s="53">
        <f ca="1">IF(NOT($K27),E27,IFERROR(STDEV(OFFSET($M27,-1*MAX($L27,N27),0):OFFSET($M27,0,0)),E27))</f>
        <v>6.6842052134343244E-2</v>
      </c>
      <c r="F28" s="52">
        <f t="shared" ca="1" si="0"/>
        <v>0.74216305803371929</v>
      </c>
      <c r="G28" s="54">
        <v>0.95</v>
      </c>
      <c r="H28" s="55">
        <f t="shared" ca="1" si="1"/>
        <v>1.229460177879407</v>
      </c>
      <c r="I28" s="55">
        <f t="shared" ca="1" si="4"/>
        <v>3.9398569058490533</v>
      </c>
      <c r="J28" s="55">
        <f t="shared" ca="1" si="5"/>
        <v>0</v>
      </c>
      <c r="K28" s="51" t="b">
        <f t="array" aca="1" ref="K28" ca="1">IFERROR(OR(ABS(I28)&gt;=4, ABS(J28)&gt;=4),FALSE())</f>
        <v>0</v>
      </c>
      <c r="L28" s="51">
        <f t="shared" ca="1" si="6"/>
        <v>8</v>
      </c>
      <c r="M28" s="52">
        <f t="shared" si="2"/>
        <v>0.93421052631578905</v>
      </c>
      <c r="N28" s="51">
        <f t="shared" si="7"/>
        <v>5</v>
      </c>
      <c r="O28" s="51" t="str">
        <f t="shared" si="3"/>
        <v>No</v>
      </c>
      <c r="P28" s="47"/>
    </row>
    <row r="29" spans="1:16" ht="15" customHeight="1" x14ac:dyDescent="0.35">
      <c r="A29" s="44">
        <f>'Raw-Data'!I15</f>
        <v>46210</v>
      </c>
      <c r="B29" s="5">
        <f>'Raw-Data'!J15</f>
        <v>115</v>
      </c>
      <c r="C29" s="7">
        <f>'Raw-Data'!K15</f>
        <v>0.89690721649484495</v>
      </c>
      <c r="D29" s="7">
        <f ca="1">IF(NOT($K28),D28,AVERAGE(OFFSET($M28,-1*MAX($L28,N28),0):OFFSET($M28,0,0)))</f>
        <v>0.85203088500887481</v>
      </c>
      <c r="E29" s="45">
        <f ca="1">IF(NOT($K28),E28,IFERROR(STDEV(OFFSET($M28,-1*MAX($L28,N28),0):OFFSET($M28,0,0)),E28))</f>
        <v>6.6842052134343244E-2</v>
      </c>
      <c r="F29" s="7">
        <f t="shared" ca="1" si="0"/>
        <v>0.75269971716948247</v>
      </c>
      <c r="G29" s="6">
        <v>0.95</v>
      </c>
      <c r="H29" s="46">
        <f t="shared" ca="1" si="1"/>
        <v>0.67137872122440145</v>
      </c>
      <c r="I29" s="46">
        <f t="shared" ca="1" si="4"/>
        <v>4.1112356270734551</v>
      </c>
      <c r="J29" s="46">
        <f t="shared" ca="1" si="5"/>
        <v>0</v>
      </c>
      <c r="K29" s="5" t="b">
        <f t="array" aca="1" ref="K29" ca="1">IFERROR(OR(ABS(I29)&gt;=4, ABS(J29)&gt;=4),FALSE())</f>
        <v>1</v>
      </c>
      <c r="L29" s="5">
        <f t="shared" ca="1" si="6"/>
        <v>9</v>
      </c>
      <c r="M29" s="7">
        <f t="shared" si="2"/>
        <v>0.89690721649484495</v>
      </c>
      <c r="N29" s="5">
        <f t="shared" si="7"/>
        <v>5</v>
      </c>
      <c r="O29" s="5" t="str">
        <f t="shared" si="3"/>
        <v>No</v>
      </c>
      <c r="P29" s="47"/>
    </row>
    <row r="30" spans="1:16" ht="15" customHeight="1" x14ac:dyDescent="0.35">
      <c r="A30" s="50">
        <f>'Raw-Data'!I14</f>
        <v>46211</v>
      </c>
      <c r="B30" s="51">
        <f>'Raw-Data'!J14</f>
        <v>108</v>
      </c>
      <c r="C30" s="52">
        <f>'Raw-Data'!K14</f>
        <v>0.90697674418604601</v>
      </c>
      <c r="D30" s="52">
        <f ca="1">IF(NOT($K29),D29,AVERAGE(OFFSET($M29,-1*MAX($L29,N29),0):OFFSET($M29,0,0)))</f>
        <v>0.91994261813613876</v>
      </c>
      <c r="E30" s="53">
        <f ca="1">IF(NOT($K29),E29,IFERROR(STDEV(OFFSET($M29,-1*MAX($L29,N29),0):OFFSET($M29,0,0)),E29))</f>
        <v>3.1725419018817799E-2</v>
      </c>
      <c r="F30" s="52">
        <f t="shared" ca="1" si="0"/>
        <v>0.84160137874452734</v>
      </c>
      <c r="G30" s="54">
        <v>0.95</v>
      </c>
      <c r="H30" s="55">
        <f t="shared" ca="1" si="1"/>
        <v>-0.40869039247053252</v>
      </c>
      <c r="I30" s="55">
        <f t="shared" ca="1" si="4"/>
        <v>0</v>
      </c>
      <c r="J30" s="55">
        <f t="shared" ca="1" si="5"/>
        <v>0</v>
      </c>
      <c r="K30" s="51" t="b">
        <f t="array" aca="1" ref="K30" ca="1">IFERROR(OR(ABS(I30)&gt;=4, ABS(J30)&gt;=4),FALSE())</f>
        <v>0</v>
      </c>
      <c r="L30" s="51">
        <f t="shared" ca="1" si="6"/>
        <v>0</v>
      </c>
      <c r="M30" s="52">
        <f t="shared" si="2"/>
        <v>0.90697674418604601</v>
      </c>
      <c r="N30" s="51">
        <f t="shared" si="7"/>
        <v>5</v>
      </c>
      <c r="O30" s="51" t="str">
        <f t="shared" si="3"/>
        <v>No</v>
      </c>
      <c r="P30" s="47"/>
    </row>
    <row r="31" spans="1:16" ht="15" customHeight="1" x14ac:dyDescent="0.35">
      <c r="A31" s="44">
        <f>'Raw-Data'!I13</f>
        <v>46212</v>
      </c>
      <c r="B31" s="5">
        <f>'Raw-Data'!J13</f>
        <v>105</v>
      </c>
      <c r="C31" s="7">
        <f>'Raw-Data'!K13</f>
        <v>0.97826086956521696</v>
      </c>
      <c r="D31" s="7">
        <f ca="1">IF(NOT($K30),D30,AVERAGE(OFFSET($M30,-1*MAX($L30,N30),0):OFFSET($M30,0,0)))</f>
        <v>0.91994261813613876</v>
      </c>
      <c r="E31" s="45">
        <f ca="1">IF(NOT($K30),E30,IFERROR(STDEV(OFFSET($M30,-1*MAX($L30,N30),0):OFFSET($M30,0,0)),E30))</f>
        <v>3.1725419018817799E-2</v>
      </c>
      <c r="F31" s="7">
        <f t="shared" ca="1" si="0"/>
        <v>0.84049009998510804</v>
      </c>
      <c r="G31" s="6">
        <v>0.95</v>
      </c>
      <c r="H31" s="46">
        <f t="shared" ca="1" si="1"/>
        <v>1.8382184769407452</v>
      </c>
      <c r="I31" s="46">
        <f t="shared" ca="1" si="4"/>
        <v>1.3382184769407452</v>
      </c>
      <c r="J31" s="46">
        <f t="shared" ca="1" si="5"/>
        <v>0</v>
      </c>
      <c r="K31" s="5" t="b">
        <f t="array" aca="1" ref="K31" ca="1">IFERROR(OR(ABS(I31)&gt;=4, ABS(J31)&gt;=4),FALSE())</f>
        <v>0</v>
      </c>
      <c r="L31" s="5">
        <f t="shared" ca="1" si="6"/>
        <v>1</v>
      </c>
      <c r="M31" s="7">
        <f t="shared" si="2"/>
        <v>0.97826086956521696</v>
      </c>
      <c r="N31" s="5">
        <f t="shared" si="7"/>
        <v>5</v>
      </c>
      <c r="O31" s="5" t="str">
        <f t="shared" si="3"/>
        <v>Yes</v>
      </c>
      <c r="P31" s="47"/>
    </row>
    <row r="32" spans="1:16" ht="15" customHeight="1" x14ac:dyDescent="0.35">
      <c r="A32" s="50">
        <f>'Raw-Data'!I12</f>
        <v>46213</v>
      </c>
      <c r="B32" s="51">
        <f>'Raw-Data'!J12</f>
        <v>137</v>
      </c>
      <c r="C32" s="52">
        <f>'Raw-Data'!K12</f>
        <v>0.95412844036697197</v>
      </c>
      <c r="D32" s="52">
        <f ca="1">IF(NOT($K31),D31,AVERAGE(OFFSET($M31,-1*MAX($L31,N31),0):OFFSET($M31,0,0)))</f>
        <v>0.91994261813613876</v>
      </c>
      <c r="E32" s="53">
        <f ca="1">IF(NOT($K31),E31,IFERROR(STDEV(OFFSET($M31,-1*MAX($L31,N31),0):OFFSET($M31,0,0)),E31))</f>
        <v>3.1725419018817799E-2</v>
      </c>
      <c r="F32" s="52">
        <f t="shared" ca="1" si="0"/>
        <v>0.85038542761137392</v>
      </c>
      <c r="G32" s="54">
        <v>0.95</v>
      </c>
      <c r="H32" s="55">
        <f t="shared" ca="1" si="1"/>
        <v>1.0775530564483968</v>
      </c>
      <c r="I32" s="55">
        <f t="shared" ca="1" si="4"/>
        <v>1.9157715333891421</v>
      </c>
      <c r="J32" s="55">
        <f t="shared" ca="1" si="5"/>
        <v>0</v>
      </c>
      <c r="K32" s="51" t="b">
        <f t="array" aca="1" ref="K32" ca="1">IFERROR(OR(ABS(I32)&gt;=4, ABS(J32)&gt;=4),FALSE())</f>
        <v>0</v>
      </c>
      <c r="L32" s="51">
        <f t="shared" ca="1" si="6"/>
        <v>2</v>
      </c>
      <c r="M32" s="52">
        <f t="shared" si="2"/>
        <v>0.95412844036697197</v>
      </c>
      <c r="N32" s="51">
        <f t="shared" si="7"/>
        <v>5</v>
      </c>
      <c r="O32" s="51" t="str">
        <f t="shared" si="3"/>
        <v>Yes</v>
      </c>
      <c r="P32" s="47"/>
    </row>
    <row r="33" spans="1:16" ht="15" customHeight="1" x14ac:dyDescent="0.35">
      <c r="A33" s="44">
        <f>'Raw-Data'!I11</f>
        <v>46214</v>
      </c>
      <c r="B33" s="5">
        <f>'Raw-Data'!J11</f>
        <v>136</v>
      </c>
      <c r="C33" s="7">
        <f>'Raw-Data'!K11</f>
        <v>0.94392523364485903</v>
      </c>
      <c r="D33" s="7">
        <f ca="1">IF(NOT($K32),D32,AVERAGE(OFFSET($M32,-1*MAX($L32,N32),0):OFFSET($M32,0,0)))</f>
        <v>0.91994261813613876</v>
      </c>
      <c r="E33" s="45">
        <f ca="1">IF(NOT($K32),E32,IFERROR(STDEV(OFFSET($M32,-1*MAX($L32,N32),0):OFFSET($M32,0,0)),E32))</f>
        <v>3.1725419018817799E-2</v>
      </c>
      <c r="F33" s="7">
        <f t="shared" ca="1" si="0"/>
        <v>0.85013017100852251</v>
      </c>
      <c r="G33" s="6">
        <v>0.95</v>
      </c>
      <c r="H33" s="46">
        <f t="shared" ca="1" si="1"/>
        <v>0.75594322314529827</v>
      </c>
      <c r="I33" s="46">
        <f t="shared" ca="1" si="4"/>
        <v>2.1717147565344401</v>
      </c>
      <c r="J33" s="46">
        <f t="shared" ca="1" si="5"/>
        <v>0</v>
      </c>
      <c r="K33" s="5" t="b">
        <f t="array" aca="1" ref="K33" ca="1">IFERROR(OR(ABS(I33)&gt;=4, ABS(J33)&gt;=4),FALSE())</f>
        <v>0</v>
      </c>
      <c r="L33" s="5">
        <f t="shared" ca="1" si="6"/>
        <v>3</v>
      </c>
      <c r="M33" s="7">
        <f t="shared" si="2"/>
        <v>0.94392523364485903</v>
      </c>
      <c r="N33" s="5">
        <f t="shared" si="7"/>
        <v>5</v>
      </c>
      <c r="O33" s="5" t="str">
        <f t="shared" si="3"/>
        <v>No</v>
      </c>
      <c r="P33" s="47"/>
    </row>
    <row r="34" spans="1:16" ht="15" customHeight="1" x14ac:dyDescent="0.35">
      <c r="A34" s="50">
        <f>'Raw-Data'!I10</f>
        <v>46215</v>
      </c>
      <c r="B34" s="51">
        <f>'Raw-Data'!J10</f>
        <v>137</v>
      </c>
      <c r="C34" s="52">
        <f>'Raw-Data'!K10</f>
        <v>0.96330275229357798</v>
      </c>
      <c r="D34" s="52">
        <f ca="1">IF(NOT($K33),D33,AVERAGE(OFFSET($M33,-1*MAX($L33,N33),0):OFFSET($M33,0,0)))</f>
        <v>0.91994261813613876</v>
      </c>
      <c r="E34" s="53">
        <f ca="1">IF(NOT($K33),E33,IFERROR(STDEV(OFFSET($M33,-1*MAX($L33,N33),0):OFFSET($M33,0,0)),E33))</f>
        <v>3.1725419018817799E-2</v>
      </c>
      <c r="F34" s="52">
        <f t="shared" ca="1" si="0"/>
        <v>0.85038542761137392</v>
      </c>
      <c r="G34" s="54">
        <v>0.95</v>
      </c>
      <c r="H34" s="55">
        <f t="shared" ca="1" si="1"/>
        <v>1.3667316460570731</v>
      </c>
      <c r="I34" s="55">
        <f t="shared" ca="1" si="4"/>
        <v>3.0384464025915134</v>
      </c>
      <c r="J34" s="55">
        <f t="shared" ca="1" si="5"/>
        <v>0</v>
      </c>
      <c r="K34" s="51" t="b">
        <f t="array" aca="1" ref="K34" ca="1">IFERROR(OR(ABS(I34)&gt;=4, ABS(J34)&gt;=4),FALSE())</f>
        <v>0</v>
      </c>
      <c r="L34" s="51">
        <f t="shared" ca="1" si="6"/>
        <v>4</v>
      </c>
      <c r="M34" s="52">
        <f t="shared" si="2"/>
        <v>0.96330275229357798</v>
      </c>
      <c r="N34" s="51">
        <f t="shared" si="7"/>
        <v>5</v>
      </c>
      <c r="O34" s="51" t="str">
        <f t="shared" si="3"/>
        <v>Yes</v>
      </c>
      <c r="P34" s="47"/>
    </row>
    <row r="35" spans="1:16" ht="15" customHeight="1" x14ac:dyDescent="0.35">
      <c r="A35" s="44">
        <f>'Raw-Data'!I9</f>
        <v>46216</v>
      </c>
      <c r="B35" s="5">
        <f>'Raw-Data'!J9</f>
        <v>131</v>
      </c>
      <c r="C35" s="7">
        <f>'Raw-Data'!K9</f>
        <v>0.90178571428571397</v>
      </c>
      <c r="D35" s="7">
        <f ca="1">IF(NOT($K34),D34,AVERAGE(OFFSET($M34,-1*MAX($L34,N34),0):OFFSET($M34,0,0)))</f>
        <v>0.91994261813613876</v>
      </c>
      <c r="E35" s="45">
        <f ca="1">IF(NOT($K34),E34,IFERROR(STDEV(OFFSET($M34,-1*MAX($L34,N34),0):OFFSET($M34,0,0)),E34))</f>
        <v>3.1725419018817799E-2</v>
      </c>
      <c r="F35" s="7">
        <f t="shared" ca="1" si="0"/>
        <v>0.84881034819916201</v>
      </c>
      <c r="G35" s="6">
        <v>0.95</v>
      </c>
      <c r="H35" s="46">
        <f t="shared" ca="1" si="1"/>
        <v>-0.57231407533672285</v>
      </c>
      <c r="I35" s="46">
        <f t="shared" ca="1" si="4"/>
        <v>1.9661323272547904</v>
      </c>
      <c r="J35" s="46">
        <f t="shared" ca="1" si="5"/>
        <v>1.0723140753367228</v>
      </c>
      <c r="K35" s="5" t="b">
        <f t="array" aca="1" ref="K35" ca="1">IFERROR(OR(ABS(I35)&gt;=4, ABS(J35)&gt;=4),FALSE())</f>
        <v>0</v>
      </c>
      <c r="L35" s="5">
        <f t="shared" ca="1" si="6"/>
        <v>5</v>
      </c>
      <c r="M35" s="7">
        <f t="shared" si="2"/>
        <v>0.90178571428571397</v>
      </c>
      <c r="N35" s="5">
        <f t="shared" si="7"/>
        <v>5</v>
      </c>
      <c r="O35" s="5" t="str">
        <f t="shared" si="3"/>
        <v>No</v>
      </c>
      <c r="P35" s="47"/>
    </row>
    <row r="36" spans="1:16" ht="15" customHeight="1" x14ac:dyDescent="0.35">
      <c r="A36" s="50">
        <f>'Raw-Data'!I8</f>
        <v>46217</v>
      </c>
      <c r="B36" s="51">
        <f>'Raw-Data'!J8</f>
        <v>140</v>
      </c>
      <c r="C36" s="52">
        <f>'Raw-Data'!K8</f>
        <v>0.95762711864406702</v>
      </c>
      <c r="D36" s="52">
        <f ca="1">IF(NOT($K35),D35,AVERAGE(OFFSET($M35,-1*MAX($L35,N35),0):OFFSET($M35,0,0)))</f>
        <v>0.91994261813613876</v>
      </c>
      <c r="E36" s="53">
        <f ca="1">IF(NOT($K35),E35,IFERROR(STDEV(OFFSET($M35,-1*MAX($L35,N35),0):OFFSET($M35,0,0)),E35))</f>
        <v>3.1725419018817799E-2</v>
      </c>
      <c r="F36" s="52">
        <f t="shared" ca="1" si="0"/>
        <v>0.85113471902270188</v>
      </c>
      <c r="G36" s="54">
        <v>0.95</v>
      </c>
      <c r="H36" s="55">
        <f t="shared" ca="1" si="1"/>
        <v>1.1878330270618604</v>
      </c>
      <c r="I36" s="55">
        <f t="shared" ca="1" si="4"/>
        <v>2.653965354316651</v>
      </c>
      <c r="J36" s="55">
        <f t="shared" ca="1" si="5"/>
        <v>0.3844810482748624</v>
      </c>
      <c r="K36" s="51" t="b">
        <f t="array" aca="1" ref="K36" ca="1">IFERROR(OR(ABS(I36)&gt;=4, ABS(J36)&gt;=4),FALSE())</f>
        <v>0</v>
      </c>
      <c r="L36" s="51">
        <f t="shared" ca="1" si="6"/>
        <v>6</v>
      </c>
      <c r="M36" s="52">
        <f t="shared" si="2"/>
        <v>0.95762711864406702</v>
      </c>
      <c r="N36" s="51">
        <f t="shared" si="7"/>
        <v>5</v>
      </c>
      <c r="O36" s="51" t="str">
        <f t="shared" si="3"/>
        <v>Yes</v>
      </c>
      <c r="P36" s="47"/>
    </row>
    <row r="37" spans="1:16" ht="15" customHeight="1" x14ac:dyDescent="0.35">
      <c r="A37" s="44">
        <f>'Raw-Data'!I7</f>
        <v>46218</v>
      </c>
      <c r="B37" s="5">
        <f>'Raw-Data'!J7</f>
        <v>115</v>
      </c>
      <c r="C37" s="7">
        <f>'Raw-Data'!K7</f>
        <v>0.92630000000000001</v>
      </c>
      <c r="D37" s="7">
        <f ca="1">IF(NOT($K36),D36,AVERAGE(OFFSET($M36,-1*MAX($L36,N36),0):OFFSET($M36,0,0)))</f>
        <v>0.91994261813613876</v>
      </c>
      <c r="E37" s="45">
        <f ca="1">IF(NOT($K36),E36,IFERROR(STDEV(OFFSET($M36,-1*MAX($L36,N36),0):OFFSET($M36,0,0)),E36))</f>
        <v>3.1725419018817799E-2</v>
      </c>
      <c r="F37" s="7">
        <f t="shared" ca="1" si="0"/>
        <v>0.84402310828428906</v>
      </c>
      <c r="G37" s="6">
        <v>0.95</v>
      </c>
      <c r="H37" s="46">
        <f t="shared" ca="1" si="1"/>
        <v>0.2003876405884632</v>
      </c>
      <c r="I37" s="46">
        <f t="shared" ca="1" si="4"/>
        <v>2.3543529949051143</v>
      </c>
      <c r="J37" s="46">
        <f t="shared" ca="1" si="5"/>
        <v>0.68409340768639915</v>
      </c>
      <c r="K37" s="5" t="b">
        <f t="array" aca="1" ref="K37" ca="1">IFERROR(OR(ABS(I37)&gt;=4, ABS(J37)&gt;=4),FALSE())</f>
        <v>0</v>
      </c>
      <c r="L37" s="5">
        <f t="shared" ca="1" si="6"/>
        <v>7</v>
      </c>
      <c r="M37" s="7">
        <f t="shared" si="2"/>
        <v>0.92630000000000001</v>
      </c>
      <c r="N37" s="5">
        <f t="shared" si="7"/>
        <v>5</v>
      </c>
      <c r="O37" s="5" t="str">
        <f t="shared" si="3"/>
        <v>No</v>
      </c>
      <c r="P37" s="47"/>
    </row>
    <row r="38" spans="1:16" ht="15" customHeight="1" x14ac:dyDescent="0.35">
      <c r="A38" s="50">
        <f>'Raw-Data'!I6</f>
        <v>46219</v>
      </c>
      <c r="B38" s="51">
        <f>'Raw-Data'!J6</f>
        <v>136</v>
      </c>
      <c r="C38" s="52">
        <f>'Raw-Data'!K6</f>
        <v>0.92920000000000003</v>
      </c>
      <c r="D38" s="52">
        <f ca="1">IF(NOT($K37),D37,AVERAGE(OFFSET($M37,-1*MAX($L37,N37),0):OFFSET($M37,0,0)))</f>
        <v>0.91994261813613876</v>
      </c>
      <c r="E38" s="53">
        <f ca="1">IF(NOT($K37),E37,IFERROR(STDEV(OFFSET($M37,-1*MAX($L37,N37),0):OFFSET($M37,0,0)),E37))</f>
        <v>3.1725419018817799E-2</v>
      </c>
      <c r="F38" s="52">
        <f t="shared" ca="1" si="0"/>
        <v>0.85013017100852251</v>
      </c>
      <c r="G38" s="54">
        <v>0.95</v>
      </c>
      <c r="H38" s="55">
        <f t="shared" ca="1" si="1"/>
        <v>0.2917969927637612</v>
      </c>
      <c r="I38" s="55">
        <f t="shared" ca="1" si="4"/>
        <v>2.1461499876688754</v>
      </c>
      <c r="J38" s="55">
        <f t="shared" ca="1" si="5"/>
        <v>0.892296414922638</v>
      </c>
      <c r="K38" s="51" t="b">
        <f t="array" aca="1" ref="K38" ca="1">IFERROR(OR(ABS(I38)&gt;=4, ABS(J38)&gt;=4),FALSE())</f>
        <v>0</v>
      </c>
      <c r="L38" s="51">
        <f t="shared" ca="1" si="6"/>
        <v>8</v>
      </c>
      <c r="M38" s="52">
        <f t="shared" si="2"/>
        <v>0.92920000000000003</v>
      </c>
      <c r="N38" s="51">
        <f t="shared" si="7"/>
        <v>5</v>
      </c>
      <c r="O38" s="51" t="str">
        <f t="shared" si="3"/>
        <v>No</v>
      </c>
      <c r="P38" s="47"/>
    </row>
    <row r="41" spans="1:16" ht="15.5" x14ac:dyDescent="0.35">
      <c r="A41" s="66" t="s">
        <v>53</v>
      </c>
      <c r="B41" s="66"/>
      <c r="C41" s="66"/>
      <c r="D41" s="66"/>
      <c r="E41" s="66"/>
      <c r="F41" s="66"/>
      <c r="G41" s="66"/>
      <c r="H41" s="66"/>
      <c r="I41" s="66"/>
      <c r="J41" s="66"/>
      <c r="K41" s="66"/>
      <c r="L41" s="66"/>
      <c r="M41" s="66"/>
      <c r="N41" s="66"/>
      <c r="O41" s="66"/>
    </row>
    <row r="43" spans="1:16" x14ac:dyDescent="0.35">
      <c r="A43" s="67" t="s">
        <v>54</v>
      </c>
      <c r="B43" s="67"/>
      <c r="C43" s="67"/>
      <c r="D43" s="67"/>
      <c r="E43" s="67"/>
      <c r="F43" s="67"/>
      <c r="G43" s="67"/>
      <c r="H43" s="67"/>
      <c r="I43" s="67"/>
      <c r="J43" s="67"/>
      <c r="K43" s="67"/>
      <c r="L43" s="67"/>
      <c r="M43" s="67"/>
      <c r="N43" s="67"/>
      <c r="O43" s="67"/>
    </row>
    <row r="44" spans="1:16" ht="15" customHeight="1" x14ac:dyDescent="0.35">
      <c r="A44" s="65" t="s">
        <v>55</v>
      </c>
      <c r="B44" s="65"/>
      <c r="C44" s="65"/>
      <c r="D44" s="65"/>
      <c r="E44" s="65"/>
      <c r="F44" s="65"/>
      <c r="G44" s="65"/>
      <c r="H44" s="65"/>
      <c r="I44" s="65"/>
      <c r="J44" s="65"/>
      <c r="K44" s="65"/>
      <c r="L44" s="65"/>
      <c r="M44" s="65"/>
      <c r="N44" s="65"/>
      <c r="O44" s="65"/>
    </row>
    <row r="47" spans="1:16" x14ac:dyDescent="0.35">
      <c r="A47" s="67" t="s">
        <v>56</v>
      </c>
      <c r="B47" s="67"/>
      <c r="C47" s="67"/>
      <c r="D47" s="67"/>
      <c r="E47" s="67"/>
      <c r="F47" s="67"/>
      <c r="G47" s="67"/>
      <c r="H47" s="67"/>
      <c r="I47" s="67"/>
      <c r="J47" s="67"/>
      <c r="K47" s="67"/>
      <c r="L47" s="67"/>
      <c r="M47" s="67"/>
      <c r="N47" s="67"/>
      <c r="O47" s="67"/>
    </row>
    <row r="48" spans="1:16" ht="15" customHeight="1" x14ac:dyDescent="0.35">
      <c r="A48" s="65" t="s">
        <v>57</v>
      </c>
      <c r="B48" s="65"/>
      <c r="C48" s="65"/>
      <c r="D48" s="65"/>
      <c r="E48" s="65"/>
      <c r="F48" s="65"/>
      <c r="G48" s="65"/>
      <c r="H48" s="65"/>
      <c r="I48" s="65"/>
      <c r="J48" s="65"/>
      <c r="K48" s="65"/>
      <c r="L48" s="65"/>
      <c r="M48" s="65"/>
      <c r="N48" s="65"/>
      <c r="O48" s="65"/>
    </row>
    <row r="49" spans="1:15" x14ac:dyDescent="0.35">
      <c r="A49" s="65"/>
      <c r="B49" s="65"/>
      <c r="C49" s="65"/>
      <c r="D49" s="65"/>
      <c r="E49" s="65"/>
      <c r="F49" s="65"/>
      <c r="G49" s="65"/>
      <c r="H49" s="65"/>
      <c r="I49" s="65"/>
      <c r="J49" s="65"/>
      <c r="K49" s="65"/>
      <c r="L49" s="65"/>
      <c r="M49" s="65"/>
      <c r="N49" s="65"/>
      <c r="O49" s="65"/>
    </row>
  </sheetData>
  <mergeCells count="8">
    <mergeCell ref="A48:O49"/>
    <mergeCell ref="A1:O1"/>
    <mergeCell ref="A2:O2"/>
    <mergeCell ref="R4:S4"/>
    <mergeCell ref="A41:O41"/>
    <mergeCell ref="A43:O43"/>
    <mergeCell ref="A44:O44"/>
    <mergeCell ref="A47:O47"/>
  </mergeCells>
  <conditionalFormatting sqref="K5:K38">
    <cfRule type="cellIs" dxfId="20" priority="2" operator="equal">
      <formula>1</formula>
    </cfRule>
  </conditionalFormatting>
  <conditionalFormatting sqref="O5:O38">
    <cfRule type="cellIs" dxfId="19" priority="3" operator="equal">
      <formula>"No"</formula>
    </cfRule>
    <cfRule type="cellIs" dxfId="18" priority="4" operator="equal">
      <formula>"Yes"</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9"/>
  <sheetViews>
    <sheetView zoomScaleNormal="100" workbookViewId="0">
      <selection sqref="A1:O1"/>
    </sheetView>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58</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11</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'Raw-Data'!I39</f>
        <v>46186</v>
      </c>
      <c r="B5" s="5">
        <f>'Raw-Data'!J39</f>
        <v>125</v>
      </c>
      <c r="C5" s="7">
        <f>'Raw-Data'!L39</f>
        <v>0.88239999999999996</v>
      </c>
      <c r="D5" s="7">
        <v>0.85</v>
      </c>
      <c r="E5" s="45">
        <v>0.05</v>
      </c>
      <c r="F5" s="7">
        <f t="shared" ref="F5:F38" si="0">MAX(0,D5-3*SQRT(D5*(1-D5)/B5))</f>
        <v>0.75418768346397214</v>
      </c>
      <c r="G5" s="6">
        <v>0.9</v>
      </c>
      <c r="H5" s="46">
        <f t="shared" ref="H5:H38" si="1">(C5-D5)/E5</f>
        <v>0.64799999999999969</v>
      </c>
      <c r="I5" s="46">
        <v>0</v>
      </c>
      <c r="J5" s="46">
        <v>0</v>
      </c>
      <c r="K5" s="5" t="b">
        <f t="array" ref="K5">IFERROR(OR(ABS(I5)&gt;=4, ABS(J5)&gt;=4),FALSE())</f>
        <v>0</v>
      </c>
      <c r="L5" s="5">
        <v>0</v>
      </c>
      <c r="M5" s="7">
        <f t="shared" ref="M5:M38" si="2">IF(P5="y","",C5)</f>
        <v>0.88239999999999996</v>
      </c>
      <c r="N5" s="5">
        <v>1</v>
      </c>
      <c r="O5" s="5" t="str">
        <f t="shared" ref="O5:O38" si="3">IF(C5&gt;=G5,"Yes","No")</f>
        <v>No</v>
      </c>
      <c r="P5" s="47"/>
      <c r="R5" s="48" t="s">
        <v>4</v>
      </c>
      <c r="S5" s="49">
        <v>0.9</v>
      </c>
    </row>
    <row r="6" spans="1:19" ht="15" customHeight="1" x14ac:dyDescent="0.35">
      <c r="A6" s="50">
        <f>'Raw-Data'!I38</f>
        <v>46187</v>
      </c>
      <c r="B6" s="51">
        <f>'Raw-Data'!J38</f>
        <v>112</v>
      </c>
      <c r="C6" s="52">
        <f>'Raw-Data'!L38</f>
        <v>0.97829999999999995</v>
      </c>
      <c r="D6" s="52">
        <f ca="1">IF(NOT($K5),D5,AVERAGE(OFFSET($M5,-1*MAX($L5,N5),0):OFFSET($M5,0,0)))</f>
        <v>0.85</v>
      </c>
      <c r="E6" s="53">
        <f ca="1">IF(NOT($K5),E5,IFERROR(STDEV(OFFSET($M5,-1*MAX($L5,N5),0):OFFSET($M5,0,0)),E5))</f>
        <v>0.05</v>
      </c>
      <c r="F6" s="52">
        <f t="shared" ca="1" si="0"/>
        <v>0.7487797662802258</v>
      </c>
      <c r="G6" s="54">
        <v>0.9</v>
      </c>
      <c r="H6" s="55">
        <f t="shared" ca="1" si="1"/>
        <v>2.5659999999999994</v>
      </c>
      <c r="I6" s="55">
        <f t="shared" ref="I6:I38" ca="1" si="4">IF(P6="y",I5,IF(K5,0,MAX(0,I5+H6-0.5)))</f>
        <v>2.0659999999999994</v>
      </c>
      <c r="J6" s="55">
        <f t="shared" ref="J6:J38" ca="1" si="5">IF(P6="y",J5,IF(K5,0,MAX(0,J5-H6+0.5)))</f>
        <v>0</v>
      </c>
      <c r="K6" s="51" t="b">
        <f t="array" aca="1" ref="K6" ca="1">IFERROR(OR(ABS(I6)&gt;=4, ABS(J6)&gt;=4),FALSE())</f>
        <v>0</v>
      </c>
      <c r="L6" s="51">
        <f t="shared" ref="L6:L38" si="6">IF(K5,0,L5+1)</f>
        <v>1</v>
      </c>
      <c r="M6" s="52">
        <f t="shared" si="2"/>
        <v>0.97829999999999995</v>
      </c>
      <c r="N6" s="51">
        <f t="shared" ref="N6:N38" si="7">MIN(5,N5+1)</f>
        <v>2</v>
      </c>
      <c r="O6" s="51" t="str">
        <f t="shared" si="3"/>
        <v>Yes</v>
      </c>
      <c r="P6" s="47"/>
      <c r="R6" s="48" t="s">
        <v>46</v>
      </c>
      <c r="S6" s="56">
        <v>34</v>
      </c>
    </row>
    <row r="7" spans="1:19" ht="15" customHeight="1" x14ac:dyDescent="0.35">
      <c r="A7" s="44">
        <f>'Raw-Data'!I37</f>
        <v>46188</v>
      </c>
      <c r="B7" s="5">
        <f>'Raw-Data'!J37</f>
        <v>101</v>
      </c>
      <c r="C7" s="7">
        <f>'Raw-Data'!L37</f>
        <v>0.44</v>
      </c>
      <c r="D7" s="7">
        <f ca="1">IF(NOT($K6),D6,AVERAGE(OFFSET($M6,-1*MAX($L6,N6),0):OFFSET($M6,0,0)))</f>
        <v>0.85</v>
      </c>
      <c r="E7" s="45">
        <f ca="1">IF(NOT($K6),E6,IFERROR(STDEV(OFFSET($M6,-1*MAX($L6,N6),0):OFFSET($M6,0,0)),E6))</f>
        <v>0.05</v>
      </c>
      <c r="F7" s="7">
        <f t="shared" ca="1" si="0"/>
        <v>0.74341019683565479</v>
      </c>
      <c r="G7" s="6">
        <v>0.9</v>
      </c>
      <c r="H7" s="46">
        <f t="shared" ca="1" si="1"/>
        <v>-8.1999999999999993</v>
      </c>
      <c r="I7" s="46">
        <f t="shared" ca="1" si="4"/>
        <v>0</v>
      </c>
      <c r="J7" s="46">
        <f t="shared" ca="1" si="5"/>
        <v>8.6999999999999993</v>
      </c>
      <c r="K7" s="5" t="b">
        <f t="array" aca="1" ref="K7" ca="1">IFERROR(OR(ABS(I7)&gt;=4, ABS(J7)&gt;=4),FALSE())</f>
        <v>1</v>
      </c>
      <c r="L7" s="5">
        <f t="shared" ca="1" si="6"/>
        <v>2</v>
      </c>
      <c r="M7" s="7">
        <f t="shared" si="2"/>
        <v>0.44</v>
      </c>
      <c r="N7" s="5">
        <f t="shared" si="7"/>
        <v>3</v>
      </c>
      <c r="O7" s="5" t="str">
        <f t="shared" si="3"/>
        <v>No</v>
      </c>
      <c r="P7" s="47"/>
      <c r="R7" s="48" t="s">
        <v>47</v>
      </c>
      <c r="S7" s="56">
        <f ca="1">COUNTIF(K5:K38,TRUE())</f>
        <v>5</v>
      </c>
    </row>
    <row r="8" spans="1:19" ht="15" customHeight="1" x14ac:dyDescent="0.35">
      <c r="A8" s="50">
        <f>'Raw-Data'!I36</f>
        <v>46189</v>
      </c>
      <c r="B8" s="51">
        <f>'Raw-Data'!J36</f>
        <v>114</v>
      </c>
      <c r="C8" s="52">
        <f>'Raw-Data'!L36</f>
        <v>0.88519999999999999</v>
      </c>
      <c r="D8" s="52">
        <f ca="1">IF(NOT($K7),D7,AVERAGE(OFFSET($M7,-1*MAX($L7,N7),0):OFFSET($M7,0,0)))</f>
        <v>0.76690000000000003</v>
      </c>
      <c r="E8" s="53">
        <f ca="1">IF(NOT($K7),E7,IFERROR(STDEV(OFFSET($M7,-1*MAX($L7,N7),0):OFFSET($M7,0,0)),E7))</f>
        <v>0.28713569962650071</v>
      </c>
      <c r="F8" s="52">
        <f t="shared" ca="1" si="0"/>
        <v>0.64810194379580643</v>
      </c>
      <c r="G8" s="54">
        <v>0.9</v>
      </c>
      <c r="H8" s="55">
        <f t="shared" ca="1" si="1"/>
        <v>0.41200031954884675</v>
      </c>
      <c r="I8" s="55">
        <f t="shared" ca="1" si="4"/>
        <v>0</v>
      </c>
      <c r="J8" s="55">
        <f t="shared" ca="1" si="5"/>
        <v>0</v>
      </c>
      <c r="K8" s="51" t="b">
        <f t="array" aca="1" ref="K8" ca="1">IFERROR(OR(ABS(I8)&gt;=4, ABS(J8)&gt;=4),FALSE())</f>
        <v>0</v>
      </c>
      <c r="L8" s="51">
        <f t="shared" ca="1" si="6"/>
        <v>0</v>
      </c>
      <c r="M8" s="52">
        <f t="shared" si="2"/>
        <v>0.88519999999999999</v>
      </c>
      <c r="N8" s="51">
        <f t="shared" si="7"/>
        <v>4</v>
      </c>
      <c r="O8" s="51" t="str">
        <f t="shared" si="3"/>
        <v>No</v>
      </c>
      <c r="P8" s="47"/>
      <c r="R8" s="48" t="s">
        <v>48</v>
      </c>
      <c r="S8" s="57" t="str">
        <f>COUNTIF(O5:O38,"Yes")&amp;"/"&amp;34</f>
        <v>10/34</v>
      </c>
    </row>
    <row r="9" spans="1:19" ht="15" customHeight="1" x14ac:dyDescent="0.35">
      <c r="A9" s="44">
        <f>'Raw-Data'!I35</f>
        <v>46190</v>
      </c>
      <c r="B9" s="5">
        <f>'Raw-Data'!J35</f>
        <v>104</v>
      </c>
      <c r="C9" s="7">
        <f>'Raw-Data'!L35</f>
        <v>0.55840000000000001</v>
      </c>
      <c r="D9" s="7">
        <f ca="1">IF(NOT($K8),D8,AVERAGE(OFFSET($M8,-1*MAX($L8,N8),0):OFFSET($M8,0,0)))</f>
        <v>0.76690000000000003</v>
      </c>
      <c r="E9" s="45">
        <f ca="1">IF(NOT($K8),E8,IFERROR(STDEV(OFFSET($M8,-1*MAX($L8,N8),0):OFFSET($M8,0,0)),E8))</f>
        <v>0.28713569962650071</v>
      </c>
      <c r="F9" s="7">
        <f t="shared" ca="1" si="0"/>
        <v>0.64252156421444462</v>
      </c>
      <c r="G9" s="6">
        <v>0.9</v>
      </c>
      <c r="H9" s="46">
        <f t="shared" ca="1" si="1"/>
        <v>-0.72613750317780712</v>
      </c>
      <c r="I9" s="46">
        <f t="shared" ca="1" si="4"/>
        <v>0</v>
      </c>
      <c r="J9" s="46">
        <f t="shared" ca="1" si="5"/>
        <v>1.226137503177807</v>
      </c>
      <c r="K9" s="5" t="b">
        <f t="array" aca="1" ref="K9" ca="1">IFERROR(OR(ABS(I9)&gt;=4, ABS(J9)&gt;=4),FALSE())</f>
        <v>0</v>
      </c>
      <c r="L9" s="5">
        <f t="shared" ca="1" si="6"/>
        <v>1</v>
      </c>
      <c r="M9" s="7">
        <f t="shared" si="2"/>
        <v>0.55840000000000001</v>
      </c>
      <c r="N9" s="5">
        <f t="shared" si="7"/>
        <v>5</v>
      </c>
      <c r="O9" s="5" t="str">
        <f t="shared" si="3"/>
        <v>No</v>
      </c>
      <c r="P9" s="47"/>
      <c r="R9" s="48" t="s">
        <v>49</v>
      </c>
      <c r="S9" s="58">
        <f>AVERAGE(C5:C38)</f>
        <v>0.77230588235294118</v>
      </c>
    </row>
    <row r="10" spans="1:19" ht="15" customHeight="1" x14ac:dyDescent="0.35">
      <c r="A10" s="50">
        <f>'Raw-Data'!I34</f>
        <v>46191</v>
      </c>
      <c r="B10" s="51">
        <f>'Raw-Data'!J34</f>
        <v>95</v>
      </c>
      <c r="C10" s="52">
        <f>'Raw-Data'!L34</f>
        <v>0.54900000000000004</v>
      </c>
      <c r="D10" s="52">
        <f ca="1">IF(NOT($K9),D9,AVERAGE(OFFSET($M9,-1*MAX($L9,N9),0):OFFSET($M9,0,0)))</f>
        <v>0.76690000000000003</v>
      </c>
      <c r="E10" s="53">
        <f ca="1">IF(NOT($K9),E9,IFERROR(STDEV(OFFSET($M9,-1*MAX($L9,N9),0):OFFSET($M9,0,0)),E9))</f>
        <v>0.28713569962650071</v>
      </c>
      <c r="F10" s="52">
        <f t="shared" ca="1" si="0"/>
        <v>0.63676324965839326</v>
      </c>
      <c r="G10" s="54">
        <v>0.9</v>
      </c>
      <c r="H10" s="55">
        <f t="shared" ca="1" si="1"/>
        <v>-0.75887463761364093</v>
      </c>
      <c r="I10" s="55">
        <f t="shared" ca="1" si="4"/>
        <v>0</v>
      </c>
      <c r="J10" s="55">
        <f t="shared" ca="1" si="5"/>
        <v>2.4850121407914481</v>
      </c>
      <c r="K10" s="51" t="b">
        <f t="array" aca="1" ref="K10" ca="1">IFERROR(OR(ABS(I10)&gt;=4, ABS(J10)&gt;=4),FALSE())</f>
        <v>0</v>
      </c>
      <c r="L10" s="51">
        <f t="shared" ca="1" si="6"/>
        <v>2</v>
      </c>
      <c r="M10" s="52">
        <f t="shared" si="2"/>
        <v>0.54900000000000004</v>
      </c>
      <c r="N10" s="51">
        <f t="shared" si="7"/>
        <v>5</v>
      </c>
      <c r="O10" s="51" t="str">
        <f t="shared" si="3"/>
        <v>No</v>
      </c>
      <c r="P10" s="47"/>
      <c r="R10" s="48" t="s">
        <v>50</v>
      </c>
      <c r="S10" s="58">
        <f>AVERAGE(C5:C38)-G5</f>
        <v>-0.12769411764705885</v>
      </c>
    </row>
    <row r="11" spans="1:19" ht="15" customHeight="1" x14ac:dyDescent="0.35">
      <c r="A11" s="44">
        <f>'Raw-Data'!I33</f>
        <v>46192</v>
      </c>
      <c r="B11" s="5">
        <f>'Raw-Data'!J33</f>
        <v>107</v>
      </c>
      <c r="C11" s="7">
        <f>'Raw-Data'!L33</f>
        <v>0.83160000000000001</v>
      </c>
      <c r="D11" s="7">
        <f ca="1">IF(NOT($K10),D10,AVERAGE(OFFSET($M10,-1*MAX($L10,N10),0):OFFSET($M10,0,0)))</f>
        <v>0.76690000000000003</v>
      </c>
      <c r="E11" s="45">
        <f ca="1">IF(NOT($K10),E10,IFERROR(STDEV(OFFSET($M10,-1*MAX($L10,N10),0):OFFSET($M10,0,0)),E10))</f>
        <v>0.28713569962650071</v>
      </c>
      <c r="F11" s="7">
        <f t="shared" ca="1" si="0"/>
        <v>0.64427758319620454</v>
      </c>
      <c r="G11" s="6">
        <v>0.9</v>
      </c>
      <c r="H11" s="46">
        <f t="shared" ca="1" si="1"/>
        <v>0.22532899978707002</v>
      </c>
      <c r="I11" s="46">
        <f t="shared" ca="1" si="4"/>
        <v>0</v>
      </c>
      <c r="J11" s="46">
        <f t="shared" ca="1" si="5"/>
        <v>2.7596831410043778</v>
      </c>
      <c r="K11" s="5" t="b">
        <f t="array" aca="1" ref="K11" ca="1">IFERROR(OR(ABS(I11)&gt;=4, ABS(J11)&gt;=4),FALSE())</f>
        <v>0</v>
      </c>
      <c r="L11" s="5">
        <f t="shared" ca="1" si="6"/>
        <v>3</v>
      </c>
      <c r="M11" s="7">
        <f t="shared" si="2"/>
        <v>0.83160000000000001</v>
      </c>
      <c r="N11" s="5">
        <f t="shared" si="7"/>
        <v>5</v>
      </c>
      <c r="O11" s="5" t="str">
        <f t="shared" si="3"/>
        <v>No</v>
      </c>
      <c r="P11" s="47"/>
      <c r="R11" s="48" t="s">
        <v>51</v>
      </c>
      <c r="S11" s="58">
        <f ca="1">D38</f>
        <v>0.7630499999999999</v>
      </c>
    </row>
    <row r="12" spans="1:19" ht="15" customHeight="1" x14ac:dyDescent="0.35">
      <c r="A12" s="50">
        <f>'Raw-Data'!I32</f>
        <v>46193</v>
      </c>
      <c r="B12" s="51">
        <f>'Raw-Data'!J32</f>
        <v>130</v>
      </c>
      <c r="C12" s="52">
        <f>'Raw-Data'!L32</f>
        <v>0.79169999999999996</v>
      </c>
      <c r="D12" s="52">
        <f ca="1">IF(NOT($K11),D11,AVERAGE(OFFSET($M11,-1*MAX($L11,N11),0):OFFSET($M11,0,0)))</f>
        <v>0.76690000000000003</v>
      </c>
      <c r="E12" s="53">
        <f ca="1">IF(NOT($K11),E11,IFERROR(STDEV(OFFSET($M11,-1*MAX($L11,N11),0):OFFSET($M11,0,0)),E11))</f>
        <v>0.28713569962650071</v>
      </c>
      <c r="F12" s="52">
        <f t="shared" ca="1" si="0"/>
        <v>0.65565254505936221</v>
      </c>
      <c r="G12" s="54">
        <v>0.9</v>
      </c>
      <c r="H12" s="55">
        <f t="shared" ca="1" si="1"/>
        <v>8.6370312128583052E-2</v>
      </c>
      <c r="I12" s="55">
        <f t="shared" ca="1" si="4"/>
        <v>0</v>
      </c>
      <c r="J12" s="55">
        <f t="shared" ca="1" si="5"/>
        <v>3.1733128288757948</v>
      </c>
      <c r="K12" s="51" t="b">
        <f t="array" aca="1" ref="K12" ca="1">IFERROR(OR(ABS(I12)&gt;=4, ABS(J12)&gt;=4),FALSE())</f>
        <v>0</v>
      </c>
      <c r="L12" s="51">
        <f t="shared" ca="1" si="6"/>
        <v>4</v>
      </c>
      <c r="M12" s="52">
        <f t="shared" si="2"/>
        <v>0.79169999999999996</v>
      </c>
      <c r="N12" s="51">
        <f t="shared" si="7"/>
        <v>5</v>
      </c>
      <c r="O12" s="51" t="str">
        <f t="shared" si="3"/>
        <v>No</v>
      </c>
      <c r="P12" s="47"/>
      <c r="R12" s="48" t="s">
        <v>52</v>
      </c>
      <c r="S12" s="58">
        <f ca="1">F38</f>
        <v>0.65366528102004584</v>
      </c>
    </row>
    <row r="13" spans="1:19" ht="15" customHeight="1" x14ac:dyDescent="0.35">
      <c r="A13" s="44">
        <f>'Raw-Data'!I31</f>
        <v>46194</v>
      </c>
      <c r="B13" s="5">
        <f>'Raw-Data'!J31</f>
        <v>133</v>
      </c>
      <c r="C13" s="7">
        <f>'Raw-Data'!L31</f>
        <v>0.71260000000000001</v>
      </c>
      <c r="D13" s="7">
        <f ca="1">IF(NOT($K12),D12,AVERAGE(OFFSET($M12,-1*MAX($L12,N12),0):OFFSET($M12,0,0)))</f>
        <v>0.76690000000000003</v>
      </c>
      <c r="E13" s="45">
        <f ca="1">IF(NOT($K12),E12,IFERROR(STDEV(OFFSET($M12,-1*MAX($L12,N12),0):OFFSET($M12,0,0)),E12))</f>
        <v>0.28713569962650071</v>
      </c>
      <c r="F13" s="7">
        <f t="shared" ca="1" si="0"/>
        <v>0.65691437175224832</v>
      </c>
      <c r="G13" s="6">
        <v>0.9</v>
      </c>
      <c r="H13" s="46">
        <f t="shared" ca="1" si="1"/>
        <v>-0.18910919147508362</v>
      </c>
      <c r="I13" s="46">
        <f t="shared" ca="1" si="4"/>
        <v>0</v>
      </c>
      <c r="J13" s="46">
        <f t="shared" ca="1" si="5"/>
        <v>3.8624220203508783</v>
      </c>
      <c r="K13" s="5" t="b">
        <f t="array" aca="1" ref="K13" ca="1">IFERROR(OR(ABS(I13)&gt;=4, ABS(J13)&gt;=4),FALSE())</f>
        <v>0</v>
      </c>
      <c r="L13" s="5">
        <f t="shared" ca="1" si="6"/>
        <v>5</v>
      </c>
      <c r="M13" s="7">
        <f t="shared" si="2"/>
        <v>0.71260000000000001</v>
      </c>
      <c r="N13" s="5">
        <f t="shared" si="7"/>
        <v>5</v>
      </c>
      <c r="O13" s="5" t="str">
        <f t="shared" si="3"/>
        <v>No</v>
      </c>
      <c r="P13" s="47"/>
    </row>
    <row r="14" spans="1:19" ht="15" customHeight="1" x14ac:dyDescent="0.35">
      <c r="A14" s="50">
        <f>'Raw-Data'!I30</f>
        <v>46195</v>
      </c>
      <c r="B14" s="51">
        <f>'Raw-Data'!J30</f>
        <v>100</v>
      </c>
      <c r="C14" s="52">
        <f>'Raw-Data'!L30</f>
        <v>0.81710000000000005</v>
      </c>
      <c r="D14" s="52">
        <f ca="1">IF(NOT($K13),D13,AVERAGE(OFFSET($M13,-1*MAX($L13,N13),0):OFFSET($M13,0,0)))</f>
        <v>0.76690000000000003</v>
      </c>
      <c r="E14" s="53">
        <f ca="1">IF(NOT($K13),E13,IFERROR(STDEV(OFFSET($M13,-1*MAX($L13,N13),0):OFFSET($M13,0,0)),E13))</f>
        <v>0.28713569962650071</v>
      </c>
      <c r="F14" s="52">
        <f t="shared" ca="1" si="0"/>
        <v>0.64005838577186114</v>
      </c>
      <c r="G14" s="54">
        <v>0.9</v>
      </c>
      <c r="H14" s="55">
        <f t="shared" ca="1" si="1"/>
        <v>0.17483022858285818</v>
      </c>
      <c r="I14" s="55">
        <f t="shared" ca="1" si="4"/>
        <v>0</v>
      </c>
      <c r="J14" s="55">
        <f t="shared" ca="1" si="5"/>
        <v>4.1875917917680203</v>
      </c>
      <c r="K14" s="51" t="b">
        <f t="array" aca="1" ref="K14" ca="1">IFERROR(OR(ABS(I14)&gt;=4, ABS(J14)&gt;=4),FALSE())</f>
        <v>1</v>
      </c>
      <c r="L14" s="51">
        <f t="shared" ca="1" si="6"/>
        <v>6</v>
      </c>
      <c r="M14" s="52">
        <f t="shared" si="2"/>
        <v>0.81710000000000005</v>
      </c>
      <c r="N14" s="51">
        <f t="shared" si="7"/>
        <v>5</v>
      </c>
      <c r="O14" s="51" t="str">
        <f t="shared" si="3"/>
        <v>No</v>
      </c>
      <c r="P14" s="47"/>
    </row>
    <row r="15" spans="1:19" ht="15" customHeight="1" x14ac:dyDescent="0.35">
      <c r="A15" s="44">
        <f>'Raw-Data'!I29</f>
        <v>46196</v>
      </c>
      <c r="B15" s="5">
        <f>'Raw-Data'!J29</f>
        <v>126</v>
      </c>
      <c r="C15" s="7">
        <f>'Raw-Data'!L29</f>
        <v>0.34039999999999998</v>
      </c>
      <c r="D15" s="7">
        <f ca="1">IF(NOT($K14),D14,AVERAGE(OFFSET($M14,-1*MAX($L14,N14),0):OFFSET($M14,0,0)))</f>
        <v>0.73508571428571423</v>
      </c>
      <c r="E15" s="45">
        <f ca="1">IF(NOT($K14),E14,IFERROR(STDEV(OFFSET($M14,-1*MAX($L14,N14),0):OFFSET($M14,0,0)),E14))</f>
        <v>0.13424614741301907</v>
      </c>
      <c r="F15" s="7">
        <f t="shared" ca="1" si="0"/>
        <v>0.61714665407155844</v>
      </c>
      <c r="G15" s="6">
        <v>0.9</v>
      </c>
      <c r="H15" s="46">
        <f t="shared" ca="1" si="1"/>
        <v>-2.9400152026071327</v>
      </c>
      <c r="I15" s="46">
        <f t="shared" ca="1" si="4"/>
        <v>0</v>
      </c>
      <c r="J15" s="46">
        <f t="shared" ca="1" si="5"/>
        <v>0</v>
      </c>
      <c r="K15" s="5" t="b">
        <f t="array" aca="1" ref="K15" ca="1">IFERROR(OR(ABS(I15)&gt;=4, ABS(J15)&gt;=4),FALSE())</f>
        <v>0</v>
      </c>
      <c r="L15" s="5">
        <f t="shared" ca="1" si="6"/>
        <v>0</v>
      </c>
      <c r="M15" s="7">
        <f t="shared" si="2"/>
        <v>0.34039999999999998</v>
      </c>
      <c r="N15" s="5">
        <f t="shared" si="7"/>
        <v>5</v>
      </c>
      <c r="O15" s="5" t="str">
        <f t="shared" si="3"/>
        <v>No</v>
      </c>
      <c r="P15" s="47"/>
    </row>
    <row r="16" spans="1:19" ht="15" customHeight="1" x14ac:dyDescent="0.35">
      <c r="A16" s="50">
        <f>'Raw-Data'!I28</f>
        <v>46197</v>
      </c>
      <c r="B16" s="51">
        <f>'Raw-Data'!J28</f>
        <v>105</v>
      </c>
      <c r="C16" s="52">
        <f>'Raw-Data'!L28</f>
        <v>0.44319999999999998</v>
      </c>
      <c r="D16" s="52">
        <f ca="1">IF(NOT($K15),D15,AVERAGE(OFFSET($M15,-1*MAX($L15,N15),0):OFFSET($M15,0,0)))</f>
        <v>0.73508571428571423</v>
      </c>
      <c r="E16" s="53">
        <f ca="1">IF(NOT($K15),E15,IFERROR(STDEV(OFFSET($M15,-1*MAX($L15,N15),0):OFFSET($M15,0,0)),E15))</f>
        <v>0.13424614741301907</v>
      </c>
      <c r="F16" s="52">
        <f t="shared" ca="1" si="0"/>
        <v>0.60588994690520792</v>
      </c>
      <c r="G16" s="54">
        <v>0.9</v>
      </c>
      <c r="H16" s="55">
        <f t="shared" ca="1" si="1"/>
        <v>-2.1742576596086916</v>
      </c>
      <c r="I16" s="55">
        <f t="shared" ca="1" si="4"/>
        <v>0</v>
      </c>
      <c r="J16" s="55">
        <f t="shared" ca="1" si="5"/>
        <v>2.6742576596086916</v>
      </c>
      <c r="K16" s="51" t="b">
        <f t="array" aca="1" ref="K16" ca="1">IFERROR(OR(ABS(I16)&gt;=4, ABS(J16)&gt;=4),FALSE())</f>
        <v>0</v>
      </c>
      <c r="L16" s="51">
        <f t="shared" ca="1" si="6"/>
        <v>1</v>
      </c>
      <c r="M16" s="52">
        <f t="shared" si="2"/>
        <v>0.44319999999999998</v>
      </c>
      <c r="N16" s="51">
        <f t="shared" si="7"/>
        <v>5</v>
      </c>
      <c r="O16" s="51" t="str">
        <f t="shared" si="3"/>
        <v>No</v>
      </c>
      <c r="P16" s="47"/>
    </row>
    <row r="17" spans="1:16" ht="15" customHeight="1" x14ac:dyDescent="0.35">
      <c r="A17" s="44">
        <f>'Raw-Data'!I27</f>
        <v>46198</v>
      </c>
      <c r="B17" s="5">
        <f>'Raw-Data'!J27</f>
        <v>106</v>
      </c>
      <c r="C17" s="7">
        <f>'Raw-Data'!L27</f>
        <v>0.61539999999999995</v>
      </c>
      <c r="D17" s="7">
        <f ca="1">IF(NOT($K16),D16,AVERAGE(OFFSET($M16,-1*MAX($L16,N16),0):OFFSET($M16,0,0)))</f>
        <v>0.73508571428571423</v>
      </c>
      <c r="E17" s="45">
        <f ca="1">IF(NOT($K16),E16,IFERROR(STDEV(OFFSET($M16,-1*MAX($L16,N16),0):OFFSET($M16,0,0)),E16))</f>
        <v>0.13424614741301907</v>
      </c>
      <c r="F17" s="7">
        <f t="shared" ca="1" si="0"/>
        <v>0.60650080501939285</v>
      </c>
      <c r="G17" s="6">
        <v>0.9</v>
      </c>
      <c r="H17" s="46">
        <f t="shared" ca="1" si="1"/>
        <v>-0.89153928505293756</v>
      </c>
      <c r="I17" s="46">
        <f t="shared" ca="1" si="4"/>
        <v>0</v>
      </c>
      <c r="J17" s="46">
        <f t="shared" ca="1" si="5"/>
        <v>4.0657969446616296</v>
      </c>
      <c r="K17" s="5" t="b">
        <f t="array" aca="1" ref="K17" ca="1">IFERROR(OR(ABS(I17)&gt;=4, ABS(J17)&gt;=4),FALSE())</f>
        <v>1</v>
      </c>
      <c r="L17" s="5">
        <f t="shared" ca="1" si="6"/>
        <v>2</v>
      </c>
      <c r="M17" s="7">
        <f t="shared" si="2"/>
        <v>0.61539999999999995</v>
      </c>
      <c r="N17" s="5">
        <f t="shared" si="7"/>
        <v>5</v>
      </c>
      <c r="O17" s="5" t="str">
        <f t="shared" si="3"/>
        <v>No</v>
      </c>
      <c r="P17" s="47"/>
    </row>
    <row r="18" spans="1:16" ht="15" customHeight="1" x14ac:dyDescent="0.35">
      <c r="A18" s="50">
        <f>'Raw-Data'!I26</f>
        <v>46199</v>
      </c>
      <c r="B18" s="51">
        <f>'Raw-Data'!J26</f>
        <v>128</v>
      </c>
      <c r="C18" s="52">
        <f>'Raw-Data'!L26</f>
        <v>0.52500000000000002</v>
      </c>
      <c r="D18" s="52">
        <f ca="1">IF(NOT($K17),D17,AVERAGE(OFFSET($M17,-1*MAX($L17,N17),0):OFFSET($M17,0,0)))</f>
        <v>0.62006666666666665</v>
      </c>
      <c r="E18" s="53">
        <f ca="1">IF(NOT($K17),E17,IFERROR(STDEV(OFFSET($M17,-1*MAX($L17,N17),0):OFFSET($M17,0,0)),E17))</f>
        <v>0.19305936565384935</v>
      </c>
      <c r="F18" s="52">
        <f t="shared" ca="1" si="0"/>
        <v>0.49136352106602488</v>
      </c>
      <c r="G18" s="54">
        <v>0.9</v>
      </c>
      <c r="H18" s="55">
        <f t="shared" ca="1" si="1"/>
        <v>-0.49242193635463821</v>
      </c>
      <c r="I18" s="55">
        <f t="shared" ca="1" si="4"/>
        <v>0</v>
      </c>
      <c r="J18" s="55">
        <f t="shared" ca="1" si="5"/>
        <v>0</v>
      </c>
      <c r="K18" s="51" t="b">
        <f t="array" aca="1" ref="K18" ca="1">IFERROR(OR(ABS(I18)&gt;=4, ABS(J18)&gt;=4),FALSE())</f>
        <v>0</v>
      </c>
      <c r="L18" s="51">
        <f t="shared" ca="1" si="6"/>
        <v>0</v>
      </c>
      <c r="M18" s="52">
        <f t="shared" si="2"/>
        <v>0.52500000000000002</v>
      </c>
      <c r="N18" s="51">
        <f t="shared" si="7"/>
        <v>5</v>
      </c>
      <c r="O18" s="51" t="str">
        <f t="shared" si="3"/>
        <v>No</v>
      </c>
      <c r="P18" s="47"/>
    </row>
    <row r="19" spans="1:16" ht="15" customHeight="1" x14ac:dyDescent="0.35">
      <c r="A19" s="44">
        <f>'Raw-Data'!I25</f>
        <v>46200</v>
      </c>
      <c r="B19" s="5">
        <f>'Raw-Data'!J25</f>
        <v>122</v>
      </c>
      <c r="C19" s="7">
        <f>'Raw-Data'!L25</f>
        <v>0.84950000000000003</v>
      </c>
      <c r="D19" s="7">
        <f ca="1">IF(NOT($K18),D18,AVERAGE(OFFSET($M18,-1*MAX($L18,N18),0):OFFSET($M18,0,0)))</f>
        <v>0.62006666666666665</v>
      </c>
      <c r="E19" s="45">
        <f ca="1">IF(NOT($K18),E18,IFERROR(STDEV(OFFSET($M18,-1*MAX($L18,N18),0):OFFSET($M18,0,0)),E18))</f>
        <v>0.19305936565384935</v>
      </c>
      <c r="F19" s="7">
        <f t="shared" ca="1" si="0"/>
        <v>0.48823667306462343</v>
      </c>
      <c r="G19" s="6">
        <v>0.9</v>
      </c>
      <c r="H19" s="46">
        <f t="shared" ca="1" si="1"/>
        <v>1.188408200536107</v>
      </c>
      <c r="I19" s="46">
        <f t="shared" ca="1" si="4"/>
        <v>0.68840820053610696</v>
      </c>
      <c r="J19" s="46">
        <f t="shared" ca="1" si="5"/>
        <v>0</v>
      </c>
      <c r="K19" s="5" t="b">
        <f t="array" aca="1" ref="K19" ca="1">IFERROR(OR(ABS(I19)&gt;=4, ABS(J19)&gt;=4),FALSE())</f>
        <v>0</v>
      </c>
      <c r="L19" s="5">
        <f t="shared" ca="1" si="6"/>
        <v>1</v>
      </c>
      <c r="M19" s="7">
        <f t="shared" si="2"/>
        <v>0.84950000000000003</v>
      </c>
      <c r="N19" s="5">
        <f t="shared" si="7"/>
        <v>5</v>
      </c>
      <c r="O19" s="5" t="str">
        <f t="shared" si="3"/>
        <v>No</v>
      </c>
      <c r="P19" s="47"/>
    </row>
    <row r="20" spans="1:16" ht="15" customHeight="1" x14ac:dyDescent="0.35">
      <c r="A20" s="50">
        <f>'Raw-Data'!I24</f>
        <v>46201</v>
      </c>
      <c r="B20" s="51">
        <f>'Raw-Data'!J24</f>
        <v>102</v>
      </c>
      <c r="C20" s="52">
        <f>'Raw-Data'!L24</f>
        <v>0.96550000000000002</v>
      </c>
      <c r="D20" s="52">
        <f ca="1">IF(NOT($K19),D19,AVERAGE(OFFSET($M19,-1*MAX($L19,N19),0):OFFSET($M19,0,0)))</f>
        <v>0.62006666666666665</v>
      </c>
      <c r="E20" s="53">
        <f ca="1">IF(NOT($K19),E19,IFERROR(STDEV(OFFSET($M19,-1*MAX($L19,N19),0):OFFSET($M19,0,0)),E19))</f>
        <v>0.19305936565384935</v>
      </c>
      <c r="F20" s="52">
        <f t="shared" ca="1" si="0"/>
        <v>0.47589030543759797</v>
      </c>
      <c r="G20" s="54">
        <v>0.9</v>
      </c>
      <c r="H20" s="55">
        <f t="shared" ca="1" si="1"/>
        <v>1.7892596516280219</v>
      </c>
      <c r="I20" s="55">
        <f t="shared" ca="1" si="4"/>
        <v>1.9776678521641289</v>
      </c>
      <c r="J20" s="55">
        <f t="shared" ca="1" si="5"/>
        <v>0</v>
      </c>
      <c r="K20" s="51" t="b">
        <f t="array" aca="1" ref="K20" ca="1">IFERROR(OR(ABS(I20)&gt;=4, ABS(J20)&gt;=4),FALSE())</f>
        <v>0</v>
      </c>
      <c r="L20" s="51">
        <f t="shared" ca="1" si="6"/>
        <v>2</v>
      </c>
      <c r="M20" s="52">
        <f t="shared" si="2"/>
        <v>0.96550000000000002</v>
      </c>
      <c r="N20" s="51">
        <f t="shared" si="7"/>
        <v>5</v>
      </c>
      <c r="O20" s="51" t="str">
        <f t="shared" si="3"/>
        <v>Yes</v>
      </c>
      <c r="P20" s="47"/>
    </row>
    <row r="21" spans="1:16" ht="15" customHeight="1" x14ac:dyDescent="0.35">
      <c r="A21" s="44">
        <f>'Raw-Data'!I23</f>
        <v>46202</v>
      </c>
      <c r="B21" s="5">
        <f>'Raw-Data'!J23</f>
        <v>107</v>
      </c>
      <c r="C21" s="7">
        <f>'Raw-Data'!L23</f>
        <v>0.82179999999999997</v>
      </c>
      <c r="D21" s="7">
        <f ca="1">IF(NOT($K20),D20,AVERAGE(OFFSET($M20,-1*MAX($L20,N20),0):OFFSET($M20,0,0)))</f>
        <v>0.62006666666666665</v>
      </c>
      <c r="E21" s="45">
        <f ca="1">IF(NOT($K20),E20,IFERROR(STDEV(OFFSET($M20,-1*MAX($L20,N20),0):OFFSET($M20,0,0)),E20))</f>
        <v>0.19305936565384935</v>
      </c>
      <c r="F21" s="7">
        <f t="shared" ca="1" si="0"/>
        <v>0.47929921211241877</v>
      </c>
      <c r="G21" s="6">
        <v>0.9</v>
      </c>
      <c r="H21" s="46">
        <f t="shared" ca="1" si="1"/>
        <v>1.0449290178184683</v>
      </c>
      <c r="I21" s="46">
        <f t="shared" ca="1" si="4"/>
        <v>2.5225968699825971</v>
      </c>
      <c r="J21" s="46">
        <f t="shared" ca="1" si="5"/>
        <v>0</v>
      </c>
      <c r="K21" s="5" t="b">
        <f t="array" aca="1" ref="K21" ca="1">IFERROR(OR(ABS(I21)&gt;=4, ABS(J21)&gt;=4),FALSE())</f>
        <v>0</v>
      </c>
      <c r="L21" s="5">
        <f t="shared" ca="1" si="6"/>
        <v>3</v>
      </c>
      <c r="M21" s="7">
        <f t="shared" si="2"/>
        <v>0.82179999999999997</v>
      </c>
      <c r="N21" s="5">
        <f t="shared" si="7"/>
        <v>5</v>
      </c>
      <c r="O21" s="5" t="str">
        <f t="shared" si="3"/>
        <v>No</v>
      </c>
      <c r="P21" s="47"/>
    </row>
    <row r="22" spans="1:16" ht="15" customHeight="1" x14ac:dyDescent="0.35">
      <c r="A22" s="50">
        <f>'Raw-Data'!I22</f>
        <v>46203</v>
      </c>
      <c r="B22" s="51">
        <f>'Raw-Data'!J22</f>
        <v>93</v>
      </c>
      <c r="C22" s="52">
        <f>'Raw-Data'!L22</f>
        <v>0.93059999999999998</v>
      </c>
      <c r="D22" s="52">
        <f ca="1">IF(NOT($K21),D21,AVERAGE(OFFSET($M21,-1*MAX($L21,N21),0):OFFSET($M21,0,0)))</f>
        <v>0.62006666666666665</v>
      </c>
      <c r="E22" s="53">
        <f ca="1">IF(NOT($K21),E21,IFERROR(STDEV(OFFSET($M21,-1*MAX($L21,N21),0):OFFSET($M21,0,0)),E21))</f>
        <v>0.19305936565384935</v>
      </c>
      <c r="F22" s="52">
        <f t="shared" ca="1" si="0"/>
        <v>0.46907510669460828</v>
      </c>
      <c r="G22" s="54">
        <v>0.9</v>
      </c>
      <c r="H22" s="55">
        <f t="shared" ca="1" si="1"/>
        <v>1.6084862409115748</v>
      </c>
      <c r="I22" s="55">
        <f t="shared" ca="1" si="4"/>
        <v>3.6310831108941723</v>
      </c>
      <c r="J22" s="55">
        <f t="shared" ca="1" si="5"/>
        <v>0</v>
      </c>
      <c r="K22" s="51" t="b">
        <f t="array" aca="1" ref="K22" ca="1">IFERROR(OR(ABS(I22)&gt;=4, ABS(J22)&gt;=4),FALSE())</f>
        <v>0</v>
      </c>
      <c r="L22" s="51">
        <f t="shared" ca="1" si="6"/>
        <v>4</v>
      </c>
      <c r="M22" s="52">
        <f t="shared" si="2"/>
        <v>0.93059999999999998</v>
      </c>
      <c r="N22" s="51">
        <f t="shared" si="7"/>
        <v>5</v>
      </c>
      <c r="O22" s="51" t="str">
        <f t="shared" si="3"/>
        <v>Yes</v>
      </c>
      <c r="P22" s="47"/>
    </row>
    <row r="23" spans="1:16" ht="15" customHeight="1" x14ac:dyDescent="0.35">
      <c r="A23" s="44">
        <f>'Raw-Data'!I21</f>
        <v>46204</v>
      </c>
      <c r="B23" s="5">
        <f>'Raw-Data'!J21</f>
        <v>118</v>
      </c>
      <c r="C23" s="7">
        <f>'Raw-Data'!L21</f>
        <v>0.7722</v>
      </c>
      <c r="D23" s="7">
        <f ca="1">IF(NOT($K22),D22,AVERAGE(OFFSET($M22,-1*MAX($L22,N22),0):OFFSET($M22,0,0)))</f>
        <v>0.62006666666666665</v>
      </c>
      <c r="E23" s="45">
        <f ca="1">IF(NOT($K22),E22,IFERROR(STDEV(OFFSET($M22,-1*MAX($L22,N22),0):OFFSET($M22,0,0)),E22))</f>
        <v>0.19305936565384935</v>
      </c>
      <c r="F23" s="7">
        <f t="shared" ca="1" si="0"/>
        <v>0.4860208877422349</v>
      </c>
      <c r="G23" s="6">
        <v>0.9</v>
      </c>
      <c r="H23" s="46">
        <f t="shared" ca="1" si="1"/>
        <v>0.78801322493778747</v>
      </c>
      <c r="I23" s="46">
        <f t="shared" ca="1" si="4"/>
        <v>3.9190963358319602</v>
      </c>
      <c r="J23" s="46">
        <f t="shared" ca="1" si="5"/>
        <v>0</v>
      </c>
      <c r="K23" s="5" t="b">
        <f t="array" aca="1" ref="K23" ca="1">IFERROR(OR(ABS(I23)&gt;=4, ABS(J23)&gt;=4),FALSE())</f>
        <v>0</v>
      </c>
      <c r="L23" s="5">
        <f t="shared" ca="1" si="6"/>
        <v>5</v>
      </c>
      <c r="M23" s="7">
        <f t="shared" si="2"/>
        <v>0.7722</v>
      </c>
      <c r="N23" s="5">
        <f t="shared" si="7"/>
        <v>5</v>
      </c>
      <c r="O23" s="5" t="str">
        <f t="shared" si="3"/>
        <v>No</v>
      </c>
      <c r="P23" s="47"/>
    </row>
    <row r="24" spans="1:16" ht="15" customHeight="1" x14ac:dyDescent="0.35">
      <c r="A24" s="50">
        <f>'Raw-Data'!I20</f>
        <v>46205</v>
      </c>
      <c r="B24" s="51">
        <f>'Raw-Data'!J20</f>
        <v>78</v>
      </c>
      <c r="C24" s="52">
        <f>'Raw-Data'!L20</f>
        <v>0.92779999999999996</v>
      </c>
      <c r="D24" s="52">
        <f ca="1">IF(NOT($K23),D23,AVERAGE(OFFSET($M23,-1*MAX($L23,N23),0):OFFSET($M23,0,0)))</f>
        <v>0.62006666666666665</v>
      </c>
      <c r="E24" s="53">
        <f ca="1">IF(NOT($K23),E23,IFERROR(STDEV(OFFSET($M23,-1*MAX($L23,N23),0):OFFSET($M23,0,0)),E23))</f>
        <v>0.19305936565384935</v>
      </c>
      <c r="F24" s="52">
        <f t="shared" ca="1" si="0"/>
        <v>0.45519468991516193</v>
      </c>
      <c r="G24" s="54">
        <v>0.9</v>
      </c>
      <c r="H24" s="55">
        <f t="shared" ca="1" si="1"/>
        <v>1.5939829300231492</v>
      </c>
      <c r="I24" s="55">
        <f t="shared" ca="1" si="4"/>
        <v>5.0130792658551098</v>
      </c>
      <c r="J24" s="55">
        <f t="shared" ca="1" si="5"/>
        <v>0</v>
      </c>
      <c r="K24" s="51" t="b">
        <f t="array" aca="1" ref="K24" ca="1">IFERROR(OR(ABS(I24)&gt;=4, ABS(J24)&gt;=4),FALSE())</f>
        <v>1</v>
      </c>
      <c r="L24" s="51">
        <f t="shared" ca="1" si="6"/>
        <v>6</v>
      </c>
      <c r="M24" s="52">
        <f t="shared" si="2"/>
        <v>0.92779999999999996</v>
      </c>
      <c r="N24" s="51">
        <f t="shared" si="7"/>
        <v>5</v>
      </c>
      <c r="O24" s="51" t="str">
        <f t="shared" si="3"/>
        <v>Yes</v>
      </c>
      <c r="P24" s="47"/>
    </row>
    <row r="25" spans="1:16" ht="15" customHeight="1" x14ac:dyDescent="0.35">
      <c r="A25" s="44">
        <f>'Raw-Data'!I19</f>
        <v>46206</v>
      </c>
      <c r="B25" s="5">
        <f>'Raw-Data'!J19</f>
        <v>124</v>
      </c>
      <c r="C25" s="7">
        <f>'Raw-Data'!L19</f>
        <v>0.79820000000000002</v>
      </c>
      <c r="D25" s="7">
        <f ca="1">IF(NOT($K24),D24,AVERAGE(OFFSET($M24,-1*MAX($L24,N24),0):OFFSET($M24,0,0)))</f>
        <v>0.82748571428571416</v>
      </c>
      <c r="E25" s="45">
        <f ca="1">IF(NOT($K24),E24,IFERROR(STDEV(OFFSET($M24,-1*MAX($L24,N24),0):OFFSET($M24,0,0)),E24))</f>
        <v>0.14989692490254242</v>
      </c>
      <c r="F25" s="7">
        <f t="shared" ca="1" si="0"/>
        <v>0.72569616373952595</v>
      </c>
      <c r="G25" s="6">
        <v>0.9</v>
      </c>
      <c r="H25" s="46">
        <f t="shared" ca="1" si="1"/>
        <v>-0.19537234873066711</v>
      </c>
      <c r="I25" s="46">
        <f t="shared" ca="1" si="4"/>
        <v>0</v>
      </c>
      <c r="J25" s="46">
        <f t="shared" ca="1" si="5"/>
        <v>0</v>
      </c>
      <c r="K25" s="5" t="b">
        <f t="array" aca="1" ref="K25" ca="1">IFERROR(OR(ABS(I25)&gt;=4, ABS(J25)&gt;=4),FALSE())</f>
        <v>0</v>
      </c>
      <c r="L25" s="5">
        <f t="shared" ca="1" si="6"/>
        <v>0</v>
      </c>
      <c r="M25" s="7">
        <f t="shared" si="2"/>
        <v>0.79820000000000002</v>
      </c>
      <c r="N25" s="5">
        <f t="shared" si="7"/>
        <v>5</v>
      </c>
      <c r="O25" s="5" t="str">
        <f t="shared" si="3"/>
        <v>No</v>
      </c>
      <c r="P25" s="47"/>
    </row>
    <row r="26" spans="1:16" ht="15" customHeight="1" x14ac:dyDescent="0.35">
      <c r="A26" s="50">
        <f>'Raw-Data'!I18</f>
        <v>46207</v>
      </c>
      <c r="B26" s="51">
        <f>'Raw-Data'!J18</f>
        <v>129</v>
      </c>
      <c r="C26" s="52">
        <f>'Raw-Data'!L18</f>
        <v>0.56579999999999997</v>
      </c>
      <c r="D26" s="52">
        <f ca="1">IF(NOT($K25),D25,AVERAGE(OFFSET($M25,-1*MAX($L25,N25),0):OFFSET($M25,0,0)))</f>
        <v>0.82748571428571416</v>
      </c>
      <c r="E26" s="53">
        <f ca="1">IF(NOT($K25),E25,IFERROR(STDEV(OFFSET($M25,-1*MAX($L25,N25),0):OFFSET($M25,0,0)),E25))</f>
        <v>0.14989692490254242</v>
      </c>
      <c r="F26" s="52">
        <f t="shared" ca="1" si="0"/>
        <v>0.72768832409563067</v>
      </c>
      <c r="G26" s="54">
        <v>0.9</v>
      </c>
      <c r="H26" s="55">
        <f t="shared" ca="1" si="1"/>
        <v>-1.7457710653894523</v>
      </c>
      <c r="I26" s="55">
        <f t="shared" ca="1" si="4"/>
        <v>0</v>
      </c>
      <c r="J26" s="55">
        <f t="shared" ca="1" si="5"/>
        <v>2.2457710653894525</v>
      </c>
      <c r="K26" s="51" t="b">
        <f t="array" aca="1" ref="K26" ca="1">IFERROR(OR(ABS(I26)&gt;=4, ABS(J26)&gt;=4),FALSE())</f>
        <v>0</v>
      </c>
      <c r="L26" s="51">
        <f t="shared" ca="1" si="6"/>
        <v>1</v>
      </c>
      <c r="M26" s="52">
        <f t="shared" si="2"/>
        <v>0.56579999999999997</v>
      </c>
      <c r="N26" s="51">
        <f t="shared" si="7"/>
        <v>5</v>
      </c>
      <c r="O26" s="51" t="str">
        <f t="shared" si="3"/>
        <v>No</v>
      </c>
      <c r="P26" s="47"/>
    </row>
    <row r="27" spans="1:16" ht="15" customHeight="1" x14ac:dyDescent="0.35">
      <c r="A27" s="44">
        <f>'Raw-Data'!I17</f>
        <v>46208</v>
      </c>
      <c r="B27" s="5">
        <f>'Raw-Data'!J17</f>
        <v>140</v>
      </c>
      <c r="C27" s="7">
        <f>'Raw-Data'!L17</f>
        <v>0.5837</v>
      </c>
      <c r="D27" s="7">
        <f ca="1">IF(NOT($K26),D26,AVERAGE(OFFSET($M26,-1*MAX($L26,N26),0):OFFSET($M26,0,0)))</f>
        <v>0.82748571428571416</v>
      </c>
      <c r="E27" s="45">
        <f ca="1">IF(NOT($K26),E26,IFERROR(STDEV(OFFSET($M26,-1*MAX($L26,N26),0):OFFSET($M26,0,0)),E26))</f>
        <v>0.14989692490254242</v>
      </c>
      <c r="F27" s="7">
        <f t="shared" ca="1" si="0"/>
        <v>0.73168913059890339</v>
      </c>
      <c r="G27" s="6">
        <v>0.9</v>
      </c>
      <c r="H27" s="46">
        <f t="shared" ca="1" si="1"/>
        <v>-1.6263556737018778</v>
      </c>
      <c r="I27" s="46">
        <f t="shared" ca="1" si="4"/>
        <v>0</v>
      </c>
      <c r="J27" s="46">
        <f t="shared" ca="1" si="5"/>
        <v>4.3721267390913301</v>
      </c>
      <c r="K27" s="5" t="b">
        <f t="array" aca="1" ref="K27" ca="1">IFERROR(OR(ABS(I27)&gt;=4, ABS(J27)&gt;=4),FALSE())</f>
        <v>1</v>
      </c>
      <c r="L27" s="5">
        <f t="shared" ca="1" si="6"/>
        <v>2</v>
      </c>
      <c r="M27" s="7">
        <f t="shared" si="2"/>
        <v>0.5837</v>
      </c>
      <c r="N27" s="5">
        <f t="shared" si="7"/>
        <v>5</v>
      </c>
      <c r="O27" s="5" t="str">
        <f t="shared" si="3"/>
        <v>No</v>
      </c>
      <c r="P27" s="47"/>
    </row>
    <row r="28" spans="1:16" ht="15" customHeight="1" x14ac:dyDescent="0.35">
      <c r="A28" s="50">
        <f>'Raw-Data'!I16</f>
        <v>46209</v>
      </c>
      <c r="B28" s="51">
        <f>'Raw-Data'!J16</f>
        <v>94</v>
      </c>
      <c r="C28" s="52">
        <f>'Raw-Data'!L16</f>
        <v>0.97989999999999999</v>
      </c>
      <c r="D28" s="52">
        <f ca="1">IF(NOT($K27),D27,AVERAGE(OFFSET($M27,-1*MAX($L27,N27),0):OFFSET($M27,0,0)))</f>
        <v>0.7630499999999999</v>
      </c>
      <c r="E28" s="53">
        <f ca="1">IF(NOT($K27),E27,IFERROR(STDEV(OFFSET($M27,-1*MAX($L27,N27),0):OFFSET($M27,0,0)),E27))</f>
        <v>0.15975530977091212</v>
      </c>
      <c r="F28" s="52">
        <f t="shared" ca="1" si="0"/>
        <v>0.63147839189813526</v>
      </c>
      <c r="G28" s="54">
        <v>0.9</v>
      </c>
      <c r="H28" s="55">
        <f t="shared" ca="1" si="1"/>
        <v>1.3573883729496148</v>
      </c>
      <c r="I28" s="55">
        <f t="shared" ca="1" si="4"/>
        <v>0</v>
      </c>
      <c r="J28" s="55">
        <f t="shared" ca="1" si="5"/>
        <v>0</v>
      </c>
      <c r="K28" s="51" t="b">
        <f t="array" aca="1" ref="K28" ca="1">IFERROR(OR(ABS(I28)&gt;=4, ABS(J28)&gt;=4),FALSE())</f>
        <v>0</v>
      </c>
      <c r="L28" s="51">
        <f t="shared" ca="1" si="6"/>
        <v>0</v>
      </c>
      <c r="M28" s="52">
        <f t="shared" si="2"/>
        <v>0.97989999999999999</v>
      </c>
      <c r="N28" s="51">
        <f t="shared" si="7"/>
        <v>5</v>
      </c>
      <c r="O28" s="51" t="str">
        <f t="shared" si="3"/>
        <v>Yes</v>
      </c>
      <c r="P28" s="47"/>
    </row>
    <row r="29" spans="1:16" ht="15" customHeight="1" x14ac:dyDescent="0.35">
      <c r="A29" s="44">
        <f>'Raw-Data'!I15</f>
        <v>46210</v>
      </c>
      <c r="B29" s="5">
        <f>'Raw-Data'!J15</f>
        <v>115</v>
      </c>
      <c r="C29" s="7">
        <f>'Raw-Data'!L15</f>
        <v>0.88109999999999999</v>
      </c>
      <c r="D29" s="7">
        <f ca="1">IF(NOT($K28),D28,AVERAGE(OFFSET($M28,-1*MAX($L28,N28),0):OFFSET($M28,0,0)))</f>
        <v>0.7630499999999999</v>
      </c>
      <c r="E29" s="45">
        <f ca="1">IF(NOT($K28),E28,IFERROR(STDEV(OFFSET($M28,-1*MAX($L28,N28),0):OFFSET($M28,0,0)),E28))</f>
        <v>0.15975530977091212</v>
      </c>
      <c r="F29" s="7">
        <f t="shared" ca="1" si="0"/>
        <v>0.64409650972827193</v>
      </c>
      <c r="G29" s="6">
        <v>0.9</v>
      </c>
      <c r="H29" s="46">
        <f t="shared" ca="1" si="1"/>
        <v>0.73894257517501538</v>
      </c>
      <c r="I29" s="46">
        <f t="shared" ca="1" si="4"/>
        <v>0.23894257517501538</v>
      </c>
      <c r="J29" s="46">
        <f t="shared" ca="1" si="5"/>
        <v>0</v>
      </c>
      <c r="K29" s="5" t="b">
        <f t="array" aca="1" ref="K29" ca="1">IFERROR(OR(ABS(I29)&gt;=4, ABS(J29)&gt;=4),FALSE())</f>
        <v>0</v>
      </c>
      <c r="L29" s="5">
        <f t="shared" ca="1" si="6"/>
        <v>1</v>
      </c>
      <c r="M29" s="7">
        <f t="shared" si="2"/>
        <v>0.88109999999999999</v>
      </c>
      <c r="N29" s="5">
        <f t="shared" si="7"/>
        <v>5</v>
      </c>
      <c r="O29" s="5" t="str">
        <f t="shared" si="3"/>
        <v>No</v>
      </c>
      <c r="P29" s="47"/>
    </row>
    <row r="30" spans="1:16" ht="15" customHeight="1" x14ac:dyDescent="0.35">
      <c r="A30" s="50">
        <f>'Raw-Data'!I14</f>
        <v>46211</v>
      </c>
      <c r="B30" s="51">
        <f>'Raw-Data'!J14</f>
        <v>108</v>
      </c>
      <c r="C30" s="52">
        <f>'Raw-Data'!L14</f>
        <v>0.83160000000000001</v>
      </c>
      <c r="D30" s="52">
        <f ca="1">IF(NOT($K29),D29,AVERAGE(OFFSET($M29,-1*MAX($L29,N29),0):OFFSET($M29,0,0)))</f>
        <v>0.7630499999999999</v>
      </c>
      <c r="E30" s="53">
        <f ca="1">IF(NOT($K29),E29,IFERROR(STDEV(OFFSET($M29,-1*MAX($L29,N29),0):OFFSET($M29,0,0)),E29))</f>
        <v>0.15975530977091212</v>
      </c>
      <c r="F30" s="52">
        <f t="shared" ca="1" si="0"/>
        <v>0.64030205449784494</v>
      </c>
      <c r="G30" s="54">
        <v>0.9</v>
      </c>
      <c r="H30" s="55">
        <f t="shared" ca="1" si="1"/>
        <v>0.4290937190025188</v>
      </c>
      <c r="I30" s="55">
        <f t="shared" ca="1" si="4"/>
        <v>0.16803629417753418</v>
      </c>
      <c r="J30" s="55">
        <f t="shared" ca="1" si="5"/>
        <v>7.0906280997481197E-2</v>
      </c>
      <c r="K30" s="51" t="b">
        <f t="array" aca="1" ref="K30" ca="1">IFERROR(OR(ABS(I30)&gt;=4, ABS(J30)&gt;=4),FALSE())</f>
        <v>0</v>
      </c>
      <c r="L30" s="51">
        <f t="shared" ca="1" si="6"/>
        <v>2</v>
      </c>
      <c r="M30" s="52">
        <f t="shared" si="2"/>
        <v>0.83160000000000001</v>
      </c>
      <c r="N30" s="51">
        <f t="shared" si="7"/>
        <v>5</v>
      </c>
      <c r="O30" s="51" t="str">
        <f t="shared" si="3"/>
        <v>No</v>
      </c>
      <c r="P30" s="47"/>
    </row>
    <row r="31" spans="1:16" ht="15" customHeight="1" x14ac:dyDescent="0.35">
      <c r="A31" s="44">
        <f>'Raw-Data'!I13</f>
        <v>46212</v>
      </c>
      <c r="B31" s="5">
        <f>'Raw-Data'!J13</f>
        <v>105</v>
      </c>
      <c r="C31" s="7">
        <f>'Raw-Data'!L13</f>
        <v>0.94469999999999998</v>
      </c>
      <c r="D31" s="7">
        <f ca="1">IF(NOT($K30),D30,AVERAGE(OFFSET($M30,-1*MAX($L30,N30),0):OFFSET($M30,0,0)))</f>
        <v>0.7630499999999999</v>
      </c>
      <c r="E31" s="45">
        <f ca="1">IF(NOT($K30),E30,IFERROR(STDEV(OFFSET($M30,-1*MAX($L30,N30),0):OFFSET($M30,0,0)),E30))</f>
        <v>0.15975530977091212</v>
      </c>
      <c r="F31" s="7">
        <f t="shared" ca="1" si="0"/>
        <v>0.63856086191960348</v>
      </c>
      <c r="G31" s="6">
        <v>0.9</v>
      </c>
      <c r="H31" s="46">
        <f t="shared" ca="1" si="1"/>
        <v>1.1370514085602836</v>
      </c>
      <c r="I31" s="46">
        <f t="shared" ca="1" si="4"/>
        <v>0.80508770273781782</v>
      </c>
      <c r="J31" s="46">
        <f t="shared" ca="1" si="5"/>
        <v>0</v>
      </c>
      <c r="K31" s="5" t="b">
        <f t="array" aca="1" ref="K31" ca="1">IFERROR(OR(ABS(I31)&gt;=4, ABS(J31)&gt;=4),FALSE())</f>
        <v>0</v>
      </c>
      <c r="L31" s="5">
        <f t="shared" ca="1" si="6"/>
        <v>3</v>
      </c>
      <c r="M31" s="7">
        <f t="shared" si="2"/>
        <v>0.94469999999999998</v>
      </c>
      <c r="N31" s="5">
        <f t="shared" si="7"/>
        <v>5</v>
      </c>
      <c r="O31" s="5" t="str">
        <f t="shared" si="3"/>
        <v>Yes</v>
      </c>
      <c r="P31" s="47"/>
    </row>
    <row r="32" spans="1:16" ht="15" customHeight="1" x14ac:dyDescent="0.35">
      <c r="A32" s="50">
        <f>'Raw-Data'!I12</f>
        <v>46213</v>
      </c>
      <c r="B32" s="51">
        <f>'Raw-Data'!J12</f>
        <v>137</v>
      </c>
      <c r="C32" s="52">
        <f>'Raw-Data'!L12</f>
        <v>0.99239999999999995</v>
      </c>
      <c r="D32" s="52">
        <f ca="1">IF(NOT($K31),D31,AVERAGE(OFFSET($M31,-1*MAX($L31,N31),0):OFFSET($M31,0,0)))</f>
        <v>0.7630499999999999</v>
      </c>
      <c r="E32" s="53">
        <f ca="1">IF(NOT($K31),E31,IFERROR(STDEV(OFFSET($M31,-1*MAX($L31,N31),0):OFFSET($M31,0,0)),E31))</f>
        <v>0.15975530977091212</v>
      </c>
      <c r="F32" s="52">
        <f t="shared" ca="1" si="0"/>
        <v>0.65406522648707177</v>
      </c>
      <c r="G32" s="54">
        <v>0.9</v>
      </c>
      <c r="H32" s="55">
        <f t="shared" ca="1" si="1"/>
        <v>1.4356330335992349</v>
      </c>
      <c r="I32" s="55">
        <f t="shared" ca="1" si="4"/>
        <v>1.7407207363370527</v>
      </c>
      <c r="J32" s="55">
        <f t="shared" ca="1" si="5"/>
        <v>0</v>
      </c>
      <c r="K32" s="51" t="b">
        <f t="array" aca="1" ref="K32" ca="1">IFERROR(OR(ABS(I32)&gt;=4, ABS(J32)&gt;=4),FALSE())</f>
        <v>0</v>
      </c>
      <c r="L32" s="51">
        <f t="shared" ca="1" si="6"/>
        <v>4</v>
      </c>
      <c r="M32" s="52">
        <f t="shared" si="2"/>
        <v>0.99239999999999995</v>
      </c>
      <c r="N32" s="51">
        <f t="shared" si="7"/>
        <v>5</v>
      </c>
      <c r="O32" s="51" t="str">
        <f t="shared" si="3"/>
        <v>Yes</v>
      </c>
      <c r="P32" s="47"/>
    </row>
    <row r="33" spans="1:16" ht="15" customHeight="1" x14ac:dyDescent="0.35">
      <c r="A33" s="44">
        <f>'Raw-Data'!I11</f>
        <v>46214</v>
      </c>
      <c r="B33" s="5">
        <f>'Raw-Data'!J11</f>
        <v>136</v>
      </c>
      <c r="C33" s="7">
        <f>'Raw-Data'!L11</f>
        <v>1</v>
      </c>
      <c r="D33" s="7">
        <f ca="1">IF(NOT($K32),D32,AVERAGE(OFFSET($M32,-1*MAX($L32,N32),0):OFFSET($M32,0,0)))</f>
        <v>0.7630499999999999</v>
      </c>
      <c r="E33" s="45">
        <f ca="1">IF(NOT($K32),E32,IFERROR(STDEV(OFFSET($M32,-1*MAX($L32,N32),0):OFFSET($M32,0,0)),E32))</f>
        <v>0.15975530977091212</v>
      </c>
      <c r="F33" s="7">
        <f t="shared" ca="1" si="0"/>
        <v>0.65366528102004584</v>
      </c>
      <c r="G33" s="6">
        <v>0.9</v>
      </c>
      <c r="H33" s="46">
        <f t="shared" ca="1" si="1"/>
        <v>1.4832057872742044</v>
      </c>
      <c r="I33" s="46">
        <f t="shared" ca="1" si="4"/>
        <v>2.7239265236112571</v>
      </c>
      <c r="J33" s="46">
        <f t="shared" ca="1" si="5"/>
        <v>0</v>
      </c>
      <c r="K33" s="5" t="b">
        <f t="array" aca="1" ref="K33" ca="1">IFERROR(OR(ABS(I33)&gt;=4, ABS(J33)&gt;=4),FALSE())</f>
        <v>0</v>
      </c>
      <c r="L33" s="5">
        <f t="shared" ca="1" si="6"/>
        <v>5</v>
      </c>
      <c r="M33" s="7">
        <f t="shared" si="2"/>
        <v>1</v>
      </c>
      <c r="N33" s="5">
        <f t="shared" si="7"/>
        <v>5</v>
      </c>
      <c r="O33" s="5" t="str">
        <f t="shared" si="3"/>
        <v>Yes</v>
      </c>
      <c r="P33" s="47"/>
    </row>
    <row r="34" spans="1:16" ht="15" customHeight="1" x14ac:dyDescent="0.35">
      <c r="A34" s="50">
        <f>'Raw-Data'!I10</f>
        <v>46215</v>
      </c>
      <c r="B34" s="51">
        <f>'Raw-Data'!J10</f>
        <v>137</v>
      </c>
      <c r="C34" s="52">
        <f>'Raw-Data'!L10</f>
        <v>0.82609999999999995</v>
      </c>
      <c r="D34" s="52">
        <f ca="1">IF(NOT($K33),D33,AVERAGE(OFFSET($M33,-1*MAX($L33,N33),0):OFFSET($M33,0,0)))</f>
        <v>0.7630499999999999</v>
      </c>
      <c r="E34" s="53">
        <f ca="1">IF(NOT($K33),E33,IFERROR(STDEV(OFFSET($M33,-1*MAX($L33,N33),0):OFFSET($M33,0,0)),E33))</f>
        <v>0.15975530977091212</v>
      </c>
      <c r="F34" s="52">
        <f t="shared" ca="1" si="0"/>
        <v>0.65406522648707177</v>
      </c>
      <c r="G34" s="54">
        <v>0.9</v>
      </c>
      <c r="H34" s="55">
        <f t="shared" ca="1" si="1"/>
        <v>0.39466606831668544</v>
      </c>
      <c r="I34" s="55">
        <f t="shared" ca="1" si="4"/>
        <v>2.6185925919279427</v>
      </c>
      <c r="J34" s="55">
        <f t="shared" ca="1" si="5"/>
        <v>0.10533393168331456</v>
      </c>
      <c r="K34" s="51" t="b">
        <f t="array" aca="1" ref="K34" ca="1">IFERROR(OR(ABS(I34)&gt;=4, ABS(J34)&gt;=4),FALSE())</f>
        <v>0</v>
      </c>
      <c r="L34" s="51">
        <f t="shared" ca="1" si="6"/>
        <v>6</v>
      </c>
      <c r="M34" s="52">
        <f t="shared" si="2"/>
        <v>0.82609999999999995</v>
      </c>
      <c r="N34" s="51">
        <f t="shared" si="7"/>
        <v>5</v>
      </c>
      <c r="O34" s="51" t="str">
        <f t="shared" si="3"/>
        <v>No</v>
      </c>
      <c r="P34" s="47"/>
    </row>
    <row r="35" spans="1:16" ht="15" customHeight="1" x14ac:dyDescent="0.35">
      <c r="A35" s="44">
        <f>'Raw-Data'!I9</f>
        <v>46216</v>
      </c>
      <c r="B35" s="5">
        <f>'Raw-Data'!J9</f>
        <v>131</v>
      </c>
      <c r="C35" s="7">
        <f>'Raw-Data'!L9</f>
        <v>0.57999999999999996</v>
      </c>
      <c r="D35" s="7">
        <f ca="1">IF(NOT($K34),D34,AVERAGE(OFFSET($M34,-1*MAX($L34,N34),0):OFFSET($M34,0,0)))</f>
        <v>0.7630499999999999</v>
      </c>
      <c r="E35" s="45">
        <f ca="1">IF(NOT($K34),E34,IFERROR(STDEV(OFFSET($M34,-1*MAX($L34,N34),0):OFFSET($M34,0,0)),E34))</f>
        <v>0.15975530977091212</v>
      </c>
      <c r="F35" s="7">
        <f t="shared" ca="1" si="0"/>
        <v>0.65159733392686747</v>
      </c>
      <c r="G35" s="6">
        <v>0.9</v>
      </c>
      <c r="H35" s="46">
        <f t="shared" ca="1" si="1"/>
        <v>-1.1458148105530404</v>
      </c>
      <c r="I35" s="46">
        <f t="shared" ca="1" si="4"/>
        <v>0.97277778137490234</v>
      </c>
      <c r="J35" s="46">
        <f t="shared" ca="1" si="5"/>
        <v>1.751148742236355</v>
      </c>
      <c r="K35" s="5" t="b">
        <f t="array" aca="1" ref="K35" ca="1">IFERROR(OR(ABS(I35)&gt;=4, ABS(J35)&gt;=4),FALSE())</f>
        <v>0</v>
      </c>
      <c r="L35" s="5">
        <f t="shared" ca="1" si="6"/>
        <v>7</v>
      </c>
      <c r="M35" s="7">
        <f t="shared" si="2"/>
        <v>0.57999999999999996</v>
      </c>
      <c r="N35" s="5">
        <f t="shared" si="7"/>
        <v>5</v>
      </c>
      <c r="O35" s="5" t="str">
        <f t="shared" si="3"/>
        <v>No</v>
      </c>
      <c r="P35" s="47"/>
    </row>
    <row r="36" spans="1:16" ht="15" customHeight="1" x14ac:dyDescent="0.35">
      <c r="A36" s="50">
        <f>'Raw-Data'!I8</f>
        <v>46217</v>
      </c>
      <c r="B36" s="51">
        <f>'Raw-Data'!J8</f>
        <v>140</v>
      </c>
      <c r="C36" s="52">
        <f>'Raw-Data'!L8</f>
        <v>0.99</v>
      </c>
      <c r="D36" s="52">
        <f ca="1">IF(NOT($K35),D35,AVERAGE(OFFSET($M35,-1*MAX($L35,N35),0):OFFSET($M35,0,0)))</f>
        <v>0.7630499999999999</v>
      </c>
      <c r="E36" s="53">
        <f ca="1">IF(NOT($K35),E35,IFERROR(STDEV(OFFSET($M35,-1*MAX($L35,N35),0):OFFSET($M35,0,0)),E35))</f>
        <v>0.15975530977091212</v>
      </c>
      <c r="F36" s="52">
        <f t="shared" ca="1" si="0"/>
        <v>0.65523924392714783</v>
      </c>
      <c r="G36" s="54">
        <v>0.9</v>
      </c>
      <c r="H36" s="55">
        <f t="shared" ca="1" si="1"/>
        <v>1.4206100587545081</v>
      </c>
      <c r="I36" s="55">
        <f t="shared" ca="1" si="4"/>
        <v>1.8933878401294102</v>
      </c>
      <c r="J36" s="55">
        <f t="shared" ca="1" si="5"/>
        <v>0.8305386834818469</v>
      </c>
      <c r="K36" s="51" t="b">
        <f t="array" aca="1" ref="K36" ca="1">IFERROR(OR(ABS(I36)&gt;=4, ABS(J36)&gt;=4),FALSE())</f>
        <v>0</v>
      </c>
      <c r="L36" s="51">
        <f t="shared" ca="1" si="6"/>
        <v>8</v>
      </c>
      <c r="M36" s="52">
        <f t="shared" si="2"/>
        <v>0.99</v>
      </c>
      <c r="N36" s="51">
        <f t="shared" si="7"/>
        <v>5</v>
      </c>
      <c r="O36" s="51" t="str">
        <f t="shared" si="3"/>
        <v>Yes</v>
      </c>
      <c r="P36" s="47"/>
    </row>
    <row r="37" spans="1:16" ht="15" customHeight="1" x14ac:dyDescent="0.35">
      <c r="A37" s="44">
        <f>'Raw-Data'!I7</f>
        <v>46218</v>
      </c>
      <c r="B37" s="5">
        <f>'Raw-Data'!J7</f>
        <v>115</v>
      </c>
      <c r="C37" s="7">
        <f>'Raw-Data'!L7</f>
        <v>0.95020000000000004</v>
      </c>
      <c r="D37" s="7">
        <f ca="1">IF(NOT($K36),D36,AVERAGE(OFFSET($M36,-1*MAX($L36,N36),0):OFFSET($M36,0,0)))</f>
        <v>0.7630499999999999</v>
      </c>
      <c r="E37" s="45">
        <f ca="1">IF(NOT($K36),E36,IFERROR(STDEV(OFFSET($M36,-1*MAX($L36,N36),0):OFFSET($M36,0,0)),E36))</f>
        <v>0.15975530977091212</v>
      </c>
      <c r="F37" s="7">
        <f t="shared" ca="1" si="0"/>
        <v>0.64409650972827193</v>
      </c>
      <c r="G37" s="6">
        <v>0.9</v>
      </c>
      <c r="H37" s="46">
        <f t="shared" ca="1" si="1"/>
        <v>1.1714790592461171</v>
      </c>
      <c r="I37" s="46">
        <f t="shared" ca="1" si="4"/>
        <v>2.5648668993755273</v>
      </c>
      <c r="J37" s="46">
        <f t="shared" ca="1" si="5"/>
        <v>0.15905962423572984</v>
      </c>
      <c r="K37" s="5" t="b">
        <f t="array" aca="1" ref="K37" ca="1">IFERROR(OR(ABS(I37)&gt;=4, ABS(J37)&gt;=4),FALSE())</f>
        <v>0</v>
      </c>
      <c r="L37" s="5">
        <f t="shared" ca="1" si="6"/>
        <v>9</v>
      </c>
      <c r="M37" s="7">
        <f t="shared" si="2"/>
        <v>0.95020000000000004</v>
      </c>
      <c r="N37" s="5">
        <f t="shared" si="7"/>
        <v>5</v>
      </c>
      <c r="O37" s="5" t="str">
        <f t="shared" si="3"/>
        <v>Yes</v>
      </c>
      <c r="P37" s="47"/>
    </row>
    <row r="38" spans="1:16" ht="15" customHeight="1" x14ac:dyDescent="0.35">
      <c r="A38" s="50">
        <f>'Raw-Data'!I6</f>
        <v>46219</v>
      </c>
      <c r="B38" s="51">
        <f>'Raw-Data'!J6</f>
        <v>136</v>
      </c>
      <c r="C38" s="52">
        <f>'Raw-Data'!L6</f>
        <v>0.69699999999999995</v>
      </c>
      <c r="D38" s="52">
        <f ca="1">IF(NOT($K37),D37,AVERAGE(OFFSET($M37,-1*MAX($L37,N37),0):OFFSET($M37,0,0)))</f>
        <v>0.7630499999999999</v>
      </c>
      <c r="E38" s="53">
        <f ca="1">IF(NOT($K37),E37,IFERROR(STDEV(OFFSET($M37,-1*MAX($L37,N37),0):OFFSET($M37,0,0)),E37))</f>
        <v>0.15975530977091212</v>
      </c>
      <c r="F38" s="52">
        <f t="shared" ca="1" si="0"/>
        <v>0.65366528102004584</v>
      </c>
      <c r="G38" s="54">
        <v>0.9</v>
      </c>
      <c r="H38" s="55">
        <f t="shared" ca="1" si="1"/>
        <v>-0.41344478687259367</v>
      </c>
      <c r="I38" s="55">
        <f t="shared" ca="1" si="4"/>
        <v>1.6514221125029334</v>
      </c>
      <c r="J38" s="55">
        <f t="shared" ca="1" si="5"/>
        <v>1.0725044111083235</v>
      </c>
      <c r="K38" s="51" t="b">
        <f t="array" aca="1" ref="K38" ca="1">IFERROR(OR(ABS(I38)&gt;=4, ABS(J38)&gt;=4),FALSE())</f>
        <v>0</v>
      </c>
      <c r="L38" s="51">
        <f t="shared" ca="1" si="6"/>
        <v>10</v>
      </c>
      <c r="M38" s="52">
        <f t="shared" si="2"/>
        <v>0.69699999999999995</v>
      </c>
      <c r="N38" s="51">
        <f t="shared" si="7"/>
        <v>5</v>
      </c>
      <c r="O38" s="51" t="str">
        <f t="shared" si="3"/>
        <v>No</v>
      </c>
      <c r="P38" s="47"/>
    </row>
    <row r="41" spans="1:16" ht="15.5" x14ac:dyDescent="0.35">
      <c r="A41" s="66" t="s">
        <v>53</v>
      </c>
      <c r="B41" s="66"/>
      <c r="C41" s="66"/>
      <c r="D41" s="66"/>
      <c r="E41" s="66"/>
      <c r="F41" s="66"/>
      <c r="G41" s="66"/>
      <c r="H41" s="66"/>
      <c r="I41" s="66"/>
      <c r="J41" s="66"/>
      <c r="K41" s="66"/>
      <c r="L41" s="66"/>
      <c r="M41" s="66"/>
      <c r="N41" s="66"/>
      <c r="O41" s="66"/>
    </row>
    <row r="43" spans="1:16" x14ac:dyDescent="0.35">
      <c r="A43" s="67" t="s">
        <v>54</v>
      </c>
      <c r="B43" s="67"/>
      <c r="C43" s="67"/>
      <c r="D43" s="67"/>
      <c r="E43" s="67"/>
      <c r="F43" s="67"/>
      <c r="G43" s="67"/>
      <c r="H43" s="67"/>
      <c r="I43" s="67"/>
      <c r="J43" s="67"/>
      <c r="K43" s="67"/>
      <c r="L43" s="67"/>
      <c r="M43" s="67"/>
      <c r="N43" s="67"/>
      <c r="O43" s="67"/>
    </row>
    <row r="44" spans="1:16" ht="15" customHeight="1" x14ac:dyDescent="0.35">
      <c r="A44" s="65" t="s">
        <v>59</v>
      </c>
      <c r="B44" s="65"/>
      <c r="C44" s="65"/>
      <c r="D44" s="65"/>
      <c r="E44" s="65"/>
      <c r="F44" s="65"/>
      <c r="G44" s="65"/>
      <c r="H44" s="65"/>
      <c r="I44" s="65"/>
      <c r="J44" s="65"/>
      <c r="K44" s="65"/>
      <c r="L44" s="65"/>
      <c r="M44" s="65"/>
      <c r="N44" s="65"/>
      <c r="O44" s="65"/>
    </row>
    <row r="47" spans="1:16" x14ac:dyDescent="0.35">
      <c r="A47" s="67" t="s">
        <v>56</v>
      </c>
      <c r="B47" s="67"/>
      <c r="C47" s="67"/>
      <c r="D47" s="67"/>
      <c r="E47" s="67"/>
      <c r="F47" s="67"/>
      <c r="G47" s="67"/>
      <c r="H47" s="67"/>
      <c r="I47" s="67"/>
      <c r="J47" s="67"/>
      <c r="K47" s="67"/>
      <c r="L47" s="67"/>
      <c r="M47" s="67"/>
      <c r="N47" s="67"/>
      <c r="O47" s="67"/>
    </row>
    <row r="48" spans="1:16" ht="15" customHeight="1" x14ac:dyDescent="0.35">
      <c r="A48" s="65" t="s">
        <v>60</v>
      </c>
      <c r="B48" s="65"/>
      <c r="C48" s="65"/>
      <c r="D48" s="65"/>
      <c r="E48" s="65"/>
      <c r="F48" s="65"/>
      <c r="G48" s="65"/>
      <c r="H48" s="65"/>
      <c r="I48" s="65"/>
      <c r="J48" s="65"/>
      <c r="K48" s="65"/>
      <c r="L48" s="65"/>
      <c r="M48" s="65"/>
      <c r="N48" s="65"/>
      <c r="O48" s="65"/>
    </row>
    <row r="49" spans="1:15" x14ac:dyDescent="0.35">
      <c r="A49" s="65"/>
      <c r="B49" s="65"/>
      <c r="C49" s="65"/>
      <c r="D49" s="65"/>
      <c r="E49" s="65"/>
      <c r="F49" s="65"/>
      <c r="G49" s="65"/>
      <c r="H49" s="65"/>
      <c r="I49" s="65"/>
      <c r="J49" s="65"/>
      <c r="K49" s="65"/>
      <c r="L49" s="65"/>
      <c r="M49" s="65"/>
      <c r="N49" s="65"/>
      <c r="O49" s="65"/>
    </row>
  </sheetData>
  <mergeCells count="8">
    <mergeCell ref="A48:O49"/>
    <mergeCell ref="A1:O1"/>
    <mergeCell ref="A2:O2"/>
    <mergeCell ref="R4:S4"/>
    <mergeCell ref="A41:O41"/>
    <mergeCell ref="A43:O43"/>
    <mergeCell ref="A44:O44"/>
    <mergeCell ref="A47:O47"/>
  </mergeCells>
  <conditionalFormatting sqref="K5:K38">
    <cfRule type="cellIs" dxfId="17" priority="2" operator="equal">
      <formula>1</formula>
    </cfRule>
  </conditionalFormatting>
  <conditionalFormatting sqref="O5:O38">
    <cfRule type="cellIs" dxfId="16" priority="3" operator="equal">
      <formula>"No"</formula>
    </cfRule>
    <cfRule type="cellIs" dxfId="15" priority="4" operator="equal">
      <formula>"Yes"</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5"/>
  <sheetViews>
    <sheetView zoomScaleNormal="100" workbookViewId="0">
      <selection activeCell="A4" sqref="A4"/>
    </sheetView>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61</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10</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'Raw-Data'!N34</f>
        <v>46191</v>
      </c>
      <c r="B5" s="5">
        <f>'Raw-Data'!O34</f>
        <v>44</v>
      </c>
      <c r="C5" s="7">
        <f>'Raw-Data'!P34</f>
        <v>0.875</v>
      </c>
      <c r="D5" s="7">
        <v>0.9</v>
      </c>
      <c r="E5" s="45">
        <v>0.05</v>
      </c>
      <c r="F5" s="7">
        <f t="shared" ref="F5:F33" si="0">MAX(0,D5-3*SQRT(D5*(1-D5)/B5))</f>
        <v>0.76431989494000641</v>
      </c>
      <c r="G5" s="6">
        <v>0.95</v>
      </c>
      <c r="H5" s="46">
        <f t="shared" ref="H5:H33" si="1">(C5-D5)/E5</f>
        <v>-0.50000000000000044</v>
      </c>
      <c r="I5" s="46">
        <v>0</v>
      </c>
      <c r="J5" s="46">
        <v>0</v>
      </c>
      <c r="K5" s="5" t="b">
        <f t="array" ref="K5">IFERROR(OR(ABS(I5)&gt;=4, ABS(J5)&gt;=4),FALSE())</f>
        <v>0</v>
      </c>
      <c r="L5" s="5">
        <v>0</v>
      </c>
      <c r="M5" s="7">
        <f t="shared" ref="M5:M33" si="2">IF(P5="y","",C5)</f>
        <v>0.875</v>
      </c>
      <c r="N5" s="5">
        <v>1</v>
      </c>
      <c r="O5" s="5" t="str">
        <f t="shared" ref="O5:O33" si="3">IF(C5&gt;=G5,"Yes","No")</f>
        <v>No</v>
      </c>
      <c r="P5" s="47"/>
      <c r="R5" s="48" t="s">
        <v>4</v>
      </c>
      <c r="S5" s="49">
        <v>0.95</v>
      </c>
    </row>
    <row r="6" spans="1:19" ht="15" customHeight="1" x14ac:dyDescent="0.35">
      <c r="A6" s="50">
        <f>'Raw-Data'!N33</f>
        <v>46192</v>
      </c>
      <c r="B6" s="51">
        <f>'Raw-Data'!O33</f>
        <v>37</v>
      </c>
      <c r="C6" s="52">
        <f>'Raw-Data'!P33</f>
        <v>0.967741935483871</v>
      </c>
      <c r="D6" s="52">
        <f ca="1">IF(NOT($K5),D5,AVERAGE(OFFSET($M5,-1*MAX($L5,N5),0):OFFSET($M5,0,0)))</f>
        <v>0.9</v>
      </c>
      <c r="E6" s="53">
        <f ca="1">IF(NOT($K5),E5,IFERROR(STDEV(OFFSET($M5,-1*MAX($L5,N5),0):OFFSET($M5,0,0)),E5))</f>
        <v>0.05</v>
      </c>
      <c r="F6" s="52">
        <f t="shared" ca="1" si="0"/>
        <v>0.75204091142517848</v>
      </c>
      <c r="G6" s="54">
        <v>0.95</v>
      </c>
      <c r="H6" s="55">
        <f t="shared" ca="1" si="1"/>
        <v>1.3548387096774195</v>
      </c>
      <c r="I6" s="55">
        <f t="shared" ref="I6:I33" ca="1" si="4">IF(P6="y",I5,IF(K5,0,MAX(0,I5+H6-0.5)))</f>
        <v>0.85483870967741948</v>
      </c>
      <c r="J6" s="55">
        <f t="shared" ref="J6:J33" ca="1" si="5">IF(P6="y",J5,IF(K5,0,MAX(0,J5-H6+0.5)))</f>
        <v>0</v>
      </c>
      <c r="K6" s="51" t="b">
        <f t="array" aca="1" ref="K6" ca="1">IFERROR(OR(ABS(I6)&gt;=4, ABS(J6)&gt;=4),FALSE())</f>
        <v>0</v>
      </c>
      <c r="L6" s="51">
        <f t="shared" ref="L6:L33" si="6">IF(K5,0,L5+1)</f>
        <v>1</v>
      </c>
      <c r="M6" s="52">
        <f t="shared" si="2"/>
        <v>0.967741935483871</v>
      </c>
      <c r="N6" s="51">
        <f t="shared" ref="N6:N33" si="7">MIN(5,N5+1)</f>
        <v>2</v>
      </c>
      <c r="O6" s="51" t="str">
        <f t="shared" si="3"/>
        <v>Yes</v>
      </c>
      <c r="P6" s="47"/>
      <c r="R6" s="48" t="s">
        <v>46</v>
      </c>
      <c r="S6" s="56">
        <v>29</v>
      </c>
    </row>
    <row r="7" spans="1:19" ht="15" customHeight="1" x14ac:dyDescent="0.35">
      <c r="A7" s="44">
        <f>'Raw-Data'!N32</f>
        <v>46193</v>
      </c>
      <c r="B7" s="5">
        <f>'Raw-Data'!O32</f>
        <v>54</v>
      </c>
      <c r="C7" s="7">
        <f>'Raw-Data'!P32</f>
        <v>0.68181818181818099</v>
      </c>
      <c r="D7" s="7">
        <f ca="1">IF(NOT($K6),D6,AVERAGE(OFFSET($M6,-1*MAX($L6,N6),0):OFFSET($M6,0,0)))</f>
        <v>0.9</v>
      </c>
      <c r="E7" s="45">
        <f ca="1">IF(NOT($K6),E6,IFERROR(STDEV(OFFSET($M6,-1*MAX($L6,N6),0):OFFSET($M6,0,0)),E6))</f>
        <v>0.05</v>
      </c>
      <c r="F7" s="7">
        <f t="shared" ca="1" si="0"/>
        <v>0.77752551286084115</v>
      </c>
      <c r="G7" s="6">
        <v>0.95</v>
      </c>
      <c r="H7" s="46">
        <f t="shared" ca="1" si="1"/>
        <v>-4.3636363636363802</v>
      </c>
      <c r="I7" s="46">
        <f t="shared" ca="1" si="4"/>
        <v>0</v>
      </c>
      <c r="J7" s="46">
        <f t="shared" ca="1" si="5"/>
        <v>4.8636363636363802</v>
      </c>
      <c r="K7" s="5" t="b">
        <f t="array" aca="1" ref="K7" ca="1">IFERROR(OR(ABS(I7)&gt;=4, ABS(J7)&gt;=4),FALSE())</f>
        <v>1</v>
      </c>
      <c r="L7" s="5">
        <f t="shared" ca="1" si="6"/>
        <v>2</v>
      </c>
      <c r="M7" s="7">
        <f t="shared" si="2"/>
        <v>0.68181818181818099</v>
      </c>
      <c r="N7" s="5">
        <f t="shared" si="7"/>
        <v>3</v>
      </c>
      <c r="O7" s="5" t="str">
        <f t="shared" si="3"/>
        <v>No</v>
      </c>
      <c r="P7" s="47"/>
      <c r="R7" s="48" t="s">
        <v>47</v>
      </c>
      <c r="S7" s="56">
        <f ca="1">COUNTIF(K5:K33,TRUE())</f>
        <v>3</v>
      </c>
    </row>
    <row r="8" spans="1:19" ht="15" customHeight="1" x14ac:dyDescent="0.35">
      <c r="A8" s="50">
        <f>'Raw-Data'!N31</f>
        <v>46194</v>
      </c>
      <c r="B8" s="51">
        <f>'Raw-Data'!O31</f>
        <v>35</v>
      </c>
      <c r="C8" s="52">
        <f>'Raw-Data'!P31</f>
        <v>0.96428571428571397</v>
      </c>
      <c r="D8" s="52">
        <f ca="1">IF(NOT($K7),D7,AVERAGE(OFFSET($M7,-1*MAX($L7,N7),0):OFFSET($M7,0,0)))</f>
        <v>0.84152003910068396</v>
      </c>
      <c r="E8" s="53">
        <f ca="1">IF(NOT($K7),E7,IFERROR(STDEV(OFFSET($M7,-1*MAX($L7,N7),0):OFFSET($M7,0,0)),E7))</f>
        <v>0.14587247534725187</v>
      </c>
      <c r="F8" s="52">
        <f t="shared" ca="1" si="0"/>
        <v>0.65633468284268992</v>
      </c>
      <c r="G8" s="54">
        <v>0.95</v>
      </c>
      <c r="H8" s="55">
        <f t="shared" ca="1" si="1"/>
        <v>0.84159588635747951</v>
      </c>
      <c r="I8" s="55">
        <f t="shared" ca="1" si="4"/>
        <v>0</v>
      </c>
      <c r="J8" s="55">
        <f t="shared" ca="1" si="5"/>
        <v>0</v>
      </c>
      <c r="K8" s="51" t="b">
        <f t="array" aca="1" ref="K8" ca="1">IFERROR(OR(ABS(I8)&gt;=4, ABS(J8)&gt;=4),FALSE())</f>
        <v>0</v>
      </c>
      <c r="L8" s="51">
        <f t="shared" ca="1" si="6"/>
        <v>0</v>
      </c>
      <c r="M8" s="52">
        <f t="shared" si="2"/>
        <v>0.96428571428571397</v>
      </c>
      <c r="N8" s="51">
        <f t="shared" si="7"/>
        <v>4</v>
      </c>
      <c r="O8" s="51" t="str">
        <f t="shared" si="3"/>
        <v>Yes</v>
      </c>
      <c r="P8" s="47"/>
      <c r="R8" s="48" t="s">
        <v>48</v>
      </c>
      <c r="S8" s="57" t="str">
        <f>COUNTIF(O5:O33,"Yes")&amp;"/"&amp;29</f>
        <v>5/29</v>
      </c>
    </row>
    <row r="9" spans="1:19" ht="15" customHeight="1" x14ac:dyDescent="0.35">
      <c r="A9" s="44">
        <f>'Raw-Data'!N30</f>
        <v>46195</v>
      </c>
      <c r="B9" s="5">
        <f>'Raw-Data'!O30</f>
        <v>39</v>
      </c>
      <c r="C9" s="7">
        <f>'Raw-Data'!P30</f>
        <v>0.79310344827586199</v>
      </c>
      <c r="D9" s="7">
        <f ca="1">IF(NOT($K8),D8,AVERAGE(OFFSET($M8,-1*MAX($L8,N8),0):OFFSET($M8,0,0)))</f>
        <v>0.84152003910068396</v>
      </c>
      <c r="E9" s="45">
        <f ca="1">IF(NOT($K8),E8,IFERROR(STDEV(OFFSET($M8,-1*MAX($L8,N8),0):OFFSET($M8,0,0)),E8))</f>
        <v>0.14587247534725187</v>
      </c>
      <c r="F9" s="7">
        <f t="shared" ca="1" si="0"/>
        <v>0.66608822269898293</v>
      </c>
      <c r="G9" s="6">
        <v>0.95</v>
      </c>
      <c r="H9" s="46">
        <f t="shared" ca="1" si="1"/>
        <v>-0.33191039440144871</v>
      </c>
      <c r="I9" s="46">
        <f t="shared" ca="1" si="4"/>
        <v>0</v>
      </c>
      <c r="J9" s="46">
        <f t="shared" ca="1" si="5"/>
        <v>0.83191039440144876</v>
      </c>
      <c r="K9" s="5" t="b">
        <f t="array" aca="1" ref="K9" ca="1">IFERROR(OR(ABS(I9)&gt;=4, ABS(J9)&gt;=4),FALSE())</f>
        <v>0</v>
      </c>
      <c r="L9" s="5">
        <f t="shared" ca="1" si="6"/>
        <v>1</v>
      </c>
      <c r="M9" s="7">
        <f t="shared" si="2"/>
        <v>0.79310344827586199</v>
      </c>
      <c r="N9" s="5">
        <f t="shared" si="7"/>
        <v>5</v>
      </c>
      <c r="O9" s="5" t="str">
        <f t="shared" si="3"/>
        <v>No</v>
      </c>
      <c r="P9" s="47"/>
      <c r="R9" s="48" t="s">
        <v>49</v>
      </c>
      <c r="S9" s="58">
        <f>AVERAGE(C5:C33)</f>
        <v>0.83309979734906103</v>
      </c>
    </row>
    <row r="10" spans="1:19" ht="15" customHeight="1" x14ac:dyDescent="0.35">
      <c r="A10" s="50">
        <f>'Raw-Data'!N29</f>
        <v>46196</v>
      </c>
      <c r="B10" s="51">
        <f>'Raw-Data'!O29</f>
        <v>47</v>
      </c>
      <c r="C10" s="52">
        <f>'Raw-Data'!P29</f>
        <v>0.75</v>
      </c>
      <c r="D10" s="52">
        <f ca="1">IF(NOT($K9),D9,AVERAGE(OFFSET($M9,-1*MAX($L9,N9),0):OFFSET($M9,0,0)))</f>
        <v>0.84152003910068396</v>
      </c>
      <c r="E10" s="53">
        <f ca="1">IF(NOT($K9),E9,IFERROR(STDEV(OFFSET($M9,-1*MAX($L9,N9),0):OFFSET($M9,0,0)),E9))</f>
        <v>0.14587247534725187</v>
      </c>
      <c r="F10" s="52">
        <f t="shared" ca="1" si="0"/>
        <v>0.68171453457308873</v>
      </c>
      <c r="G10" s="54">
        <v>0.95</v>
      </c>
      <c r="H10" s="55">
        <f t="shared" ca="1" si="1"/>
        <v>-0.62739758739830098</v>
      </c>
      <c r="I10" s="55">
        <f t="shared" ca="1" si="4"/>
        <v>0</v>
      </c>
      <c r="J10" s="55">
        <f t="shared" ca="1" si="5"/>
        <v>1.9593079817997499</v>
      </c>
      <c r="K10" s="51" t="b">
        <f t="array" aca="1" ref="K10" ca="1">IFERROR(OR(ABS(I10)&gt;=4, ABS(J10)&gt;=4),FALSE())</f>
        <v>0</v>
      </c>
      <c r="L10" s="51">
        <f t="shared" ca="1" si="6"/>
        <v>2</v>
      </c>
      <c r="M10" s="52">
        <f t="shared" si="2"/>
        <v>0.75</v>
      </c>
      <c r="N10" s="51">
        <f t="shared" si="7"/>
        <v>5</v>
      </c>
      <c r="O10" s="51" t="str">
        <f t="shared" si="3"/>
        <v>No</v>
      </c>
      <c r="P10" s="47"/>
      <c r="R10" s="48" t="s">
        <v>50</v>
      </c>
      <c r="S10" s="58">
        <f>AVERAGE(C5:C33)-G5</f>
        <v>-0.11690020265093892</v>
      </c>
    </row>
    <row r="11" spans="1:19" ht="15" customHeight="1" x14ac:dyDescent="0.35">
      <c r="A11" s="44">
        <f>'Raw-Data'!N28</f>
        <v>46197</v>
      </c>
      <c r="B11" s="5">
        <f>'Raw-Data'!O28</f>
        <v>44</v>
      </c>
      <c r="C11" s="7">
        <f>'Raw-Data'!P28</f>
        <v>0.95</v>
      </c>
      <c r="D11" s="7">
        <f ca="1">IF(NOT($K10),D10,AVERAGE(OFFSET($M10,-1*MAX($L10,N10),0):OFFSET($M10,0,0)))</f>
        <v>0.84152003910068396</v>
      </c>
      <c r="E11" s="45">
        <f ca="1">IF(NOT($K10),E10,IFERROR(STDEV(OFFSET($M10,-1*MAX($L10,N10),0):OFFSET($M10,0,0)),E10))</f>
        <v>0.14587247534725187</v>
      </c>
      <c r="F11" s="7">
        <f t="shared" ca="1" si="0"/>
        <v>0.67635644485422408</v>
      </c>
      <c r="G11" s="6">
        <v>0.95</v>
      </c>
      <c r="H11" s="46">
        <f t="shared" ca="1" si="1"/>
        <v>0.74366298810709586</v>
      </c>
      <c r="I11" s="46">
        <f t="shared" ca="1" si="4"/>
        <v>0.24366298810709586</v>
      </c>
      <c r="J11" s="46">
        <f t="shared" ca="1" si="5"/>
        <v>1.7156449936926541</v>
      </c>
      <c r="K11" s="5" t="b">
        <f t="array" aca="1" ref="K11" ca="1">IFERROR(OR(ABS(I11)&gt;=4, ABS(J11)&gt;=4),FALSE())</f>
        <v>0</v>
      </c>
      <c r="L11" s="5">
        <f t="shared" ca="1" si="6"/>
        <v>3</v>
      </c>
      <c r="M11" s="7">
        <f t="shared" si="2"/>
        <v>0.95</v>
      </c>
      <c r="N11" s="5">
        <f t="shared" si="7"/>
        <v>5</v>
      </c>
      <c r="O11" s="5" t="str">
        <f t="shared" si="3"/>
        <v>Yes</v>
      </c>
      <c r="P11" s="47"/>
      <c r="R11" s="48" t="s">
        <v>51</v>
      </c>
      <c r="S11" s="58">
        <f ca="1">D33</f>
        <v>0.79893933800910499</v>
      </c>
    </row>
    <row r="12" spans="1:19" ht="15" customHeight="1" x14ac:dyDescent="0.35">
      <c r="A12" s="50">
        <f>'Raw-Data'!N27</f>
        <v>46198</v>
      </c>
      <c r="B12" s="51">
        <f>'Raw-Data'!O27</f>
        <v>46</v>
      </c>
      <c r="C12" s="52">
        <f>'Raw-Data'!P27</f>
        <v>0.80952380952380898</v>
      </c>
      <c r="D12" s="52">
        <f ca="1">IF(NOT($K11),D11,AVERAGE(OFFSET($M11,-1*MAX($L11,N11),0):OFFSET($M11,0,0)))</f>
        <v>0.84152003910068396</v>
      </c>
      <c r="E12" s="53">
        <f ca="1">IF(NOT($K11),E11,IFERROR(STDEV(OFFSET($M11,-1*MAX($L11,N11),0):OFFSET($M11,0,0)),E11))</f>
        <v>0.14587247534725187</v>
      </c>
      <c r="F12" s="52">
        <f t="shared" ca="1" si="0"/>
        <v>0.67998685728708197</v>
      </c>
      <c r="G12" s="54">
        <v>0.95</v>
      </c>
      <c r="H12" s="55">
        <f t="shared" ca="1" si="1"/>
        <v>-0.2193438446883651</v>
      </c>
      <c r="I12" s="55">
        <f t="shared" ca="1" si="4"/>
        <v>0</v>
      </c>
      <c r="J12" s="55">
        <f t="shared" ca="1" si="5"/>
        <v>2.4349888383810194</v>
      </c>
      <c r="K12" s="51" t="b">
        <f t="array" aca="1" ref="K12" ca="1">IFERROR(OR(ABS(I12)&gt;=4, ABS(J12)&gt;=4),FALSE())</f>
        <v>0</v>
      </c>
      <c r="L12" s="51">
        <f t="shared" ca="1" si="6"/>
        <v>4</v>
      </c>
      <c r="M12" s="52">
        <f t="shared" si="2"/>
        <v>0.80952380952380898</v>
      </c>
      <c r="N12" s="51">
        <f t="shared" si="7"/>
        <v>5</v>
      </c>
      <c r="O12" s="51" t="str">
        <f t="shared" si="3"/>
        <v>No</v>
      </c>
      <c r="P12" s="47"/>
      <c r="R12" s="48" t="s">
        <v>52</v>
      </c>
      <c r="S12" s="58">
        <f ca="1">F33</f>
        <v>0.63531615699518806</v>
      </c>
    </row>
    <row r="13" spans="1:19" ht="15" customHeight="1" x14ac:dyDescent="0.35">
      <c r="A13" s="44">
        <f>'Raw-Data'!N26</f>
        <v>46199</v>
      </c>
      <c r="B13" s="5">
        <f>'Raw-Data'!O26</f>
        <v>48</v>
      </c>
      <c r="C13" s="7">
        <f>'Raw-Data'!P26</f>
        <v>0.93181818181818099</v>
      </c>
      <c r="D13" s="7">
        <f ca="1">IF(NOT($K12),D12,AVERAGE(OFFSET($M12,-1*MAX($L12,N12),0):OFFSET($M12,0,0)))</f>
        <v>0.84152003910068396</v>
      </c>
      <c r="E13" s="45">
        <f ca="1">IF(NOT($K12),E12,IFERROR(STDEV(OFFSET($M12,-1*MAX($L12,N12),0):OFFSET($M12,0,0)),E12))</f>
        <v>0.14587247534725187</v>
      </c>
      <c r="F13" s="7">
        <f t="shared" ca="1" si="0"/>
        <v>0.68338793675465448</v>
      </c>
      <c r="G13" s="6">
        <v>0.95</v>
      </c>
      <c r="H13" s="46">
        <f t="shared" ca="1" si="1"/>
        <v>0.61902111760659984</v>
      </c>
      <c r="I13" s="46">
        <f t="shared" ca="1" si="4"/>
        <v>0.11902111760659984</v>
      </c>
      <c r="J13" s="46">
        <f t="shared" ca="1" si="5"/>
        <v>2.3159677207744194</v>
      </c>
      <c r="K13" s="5" t="b">
        <f t="array" aca="1" ref="K13" ca="1">IFERROR(OR(ABS(I13)&gt;=4, ABS(J13)&gt;=4),FALSE())</f>
        <v>0</v>
      </c>
      <c r="L13" s="5">
        <f t="shared" ca="1" si="6"/>
        <v>5</v>
      </c>
      <c r="M13" s="7">
        <f t="shared" si="2"/>
        <v>0.93181818181818099</v>
      </c>
      <c r="N13" s="5">
        <f t="shared" si="7"/>
        <v>5</v>
      </c>
      <c r="O13" s="5" t="str">
        <f t="shared" si="3"/>
        <v>No</v>
      </c>
      <c r="P13" s="47"/>
    </row>
    <row r="14" spans="1:19" ht="15" customHeight="1" x14ac:dyDescent="0.35">
      <c r="A14" s="50">
        <f>'Raw-Data'!N25</f>
        <v>46200</v>
      </c>
      <c r="B14" s="51">
        <f>'Raw-Data'!O25</f>
        <v>47</v>
      </c>
      <c r="C14" s="52">
        <f>'Raw-Data'!P25</f>
        <v>0.89743589743589702</v>
      </c>
      <c r="D14" s="52">
        <f ca="1">IF(NOT($K13),D13,AVERAGE(OFFSET($M13,-1*MAX($L13,N13),0):OFFSET($M13,0,0)))</f>
        <v>0.84152003910068396</v>
      </c>
      <c r="E14" s="53">
        <f ca="1">IF(NOT($K13),E13,IFERROR(STDEV(OFFSET($M13,-1*MAX($L13,N13),0):OFFSET($M13,0,0)),E13))</f>
        <v>0.14587247534725187</v>
      </c>
      <c r="F14" s="52">
        <f t="shared" ca="1" si="0"/>
        <v>0.68171453457308873</v>
      </c>
      <c r="G14" s="54">
        <v>0.95</v>
      </c>
      <c r="H14" s="55">
        <f t="shared" ca="1" si="1"/>
        <v>0.38332014454477742</v>
      </c>
      <c r="I14" s="55">
        <f t="shared" ca="1" si="4"/>
        <v>2.3412621513771992E-3</v>
      </c>
      <c r="J14" s="55">
        <f t="shared" ca="1" si="5"/>
        <v>2.432647576229642</v>
      </c>
      <c r="K14" s="51" t="b">
        <f t="array" aca="1" ref="K14" ca="1">IFERROR(OR(ABS(I14)&gt;=4, ABS(J14)&gt;=4),FALSE())</f>
        <v>0</v>
      </c>
      <c r="L14" s="51">
        <f t="shared" ca="1" si="6"/>
        <v>6</v>
      </c>
      <c r="M14" s="52">
        <f t="shared" si="2"/>
        <v>0.89743589743589702</v>
      </c>
      <c r="N14" s="51">
        <f t="shared" si="7"/>
        <v>5</v>
      </c>
      <c r="O14" s="51" t="str">
        <f t="shared" si="3"/>
        <v>No</v>
      </c>
      <c r="P14" s="47"/>
    </row>
    <row r="15" spans="1:19" ht="15" customHeight="1" x14ac:dyDescent="0.35">
      <c r="A15" s="44">
        <f>'Raw-Data'!N24</f>
        <v>46201</v>
      </c>
      <c r="B15" s="5">
        <f>'Raw-Data'!O24</f>
        <v>43</v>
      </c>
      <c r="C15" s="7">
        <f>'Raw-Data'!P24</f>
        <v>0.95</v>
      </c>
      <c r="D15" s="7">
        <f ca="1">IF(NOT($K14),D14,AVERAGE(OFFSET($M14,-1*MAX($L14,N14),0):OFFSET($M14,0,0)))</f>
        <v>0.84152003910068396</v>
      </c>
      <c r="E15" s="45">
        <f ca="1">IF(NOT($K14),E14,IFERROR(STDEV(OFFSET($M14,-1*MAX($L14,N14),0):OFFSET($M14,0,0)),E14))</f>
        <v>0.14587247534725187</v>
      </c>
      <c r="F15" s="7">
        <f t="shared" ca="1" si="0"/>
        <v>0.67444697570499845</v>
      </c>
      <c r="G15" s="6">
        <v>0.95</v>
      </c>
      <c r="H15" s="46">
        <f t="shared" ca="1" si="1"/>
        <v>0.74366298810709586</v>
      </c>
      <c r="I15" s="46">
        <f t="shared" ca="1" si="4"/>
        <v>0.24600425025847306</v>
      </c>
      <c r="J15" s="46">
        <f t="shared" ca="1" si="5"/>
        <v>2.1889845881225463</v>
      </c>
      <c r="K15" s="5" t="b">
        <f t="array" aca="1" ref="K15" ca="1">IFERROR(OR(ABS(I15)&gt;=4, ABS(J15)&gt;=4),FALSE())</f>
        <v>0</v>
      </c>
      <c r="L15" s="5">
        <f t="shared" ca="1" si="6"/>
        <v>7</v>
      </c>
      <c r="M15" s="7">
        <f t="shared" si="2"/>
        <v>0.95</v>
      </c>
      <c r="N15" s="5">
        <f t="shared" si="7"/>
        <v>5</v>
      </c>
      <c r="O15" s="5" t="str">
        <f t="shared" si="3"/>
        <v>Yes</v>
      </c>
      <c r="P15" s="47"/>
    </row>
    <row r="16" spans="1:19" ht="15" customHeight="1" x14ac:dyDescent="0.35">
      <c r="A16" s="50">
        <f>'Raw-Data'!N23</f>
        <v>46202</v>
      </c>
      <c r="B16" s="51">
        <f>'Raw-Data'!O23</f>
        <v>36</v>
      </c>
      <c r="C16" s="52">
        <f>'Raw-Data'!P23</f>
        <v>0.73529411764705799</v>
      </c>
      <c r="D16" s="52">
        <f ca="1">IF(NOT($K15),D15,AVERAGE(OFFSET($M15,-1*MAX($L15,N15),0):OFFSET($M15,0,0)))</f>
        <v>0.84152003910068396</v>
      </c>
      <c r="E16" s="53">
        <f ca="1">IF(NOT($K15),E15,IFERROR(STDEV(OFFSET($M15,-1*MAX($L15,N15),0):OFFSET($M15,0,0)),E15))</f>
        <v>0.14587247534725187</v>
      </c>
      <c r="F16" s="52">
        <f t="shared" ca="1" si="0"/>
        <v>0.65892481538668091</v>
      </c>
      <c r="G16" s="54">
        <v>0.95</v>
      </c>
      <c r="H16" s="55">
        <f t="shared" ca="1" si="1"/>
        <v>-0.72821086500899768</v>
      </c>
      <c r="I16" s="55">
        <f t="shared" ca="1" si="4"/>
        <v>0</v>
      </c>
      <c r="J16" s="55">
        <f t="shared" ca="1" si="5"/>
        <v>3.4171954531315438</v>
      </c>
      <c r="K16" s="51" t="b">
        <f t="array" aca="1" ref="K16" ca="1">IFERROR(OR(ABS(I16)&gt;=4, ABS(J16)&gt;=4),FALSE())</f>
        <v>0</v>
      </c>
      <c r="L16" s="51">
        <f t="shared" ca="1" si="6"/>
        <v>8</v>
      </c>
      <c r="M16" s="52">
        <f t="shared" si="2"/>
        <v>0.73529411764705799</v>
      </c>
      <c r="N16" s="51">
        <f t="shared" si="7"/>
        <v>5</v>
      </c>
      <c r="O16" s="51" t="str">
        <f t="shared" si="3"/>
        <v>No</v>
      </c>
      <c r="P16" s="47"/>
    </row>
    <row r="17" spans="1:16" ht="15" customHeight="1" x14ac:dyDescent="0.35">
      <c r="A17" s="44">
        <f>'Raw-Data'!N22</f>
        <v>46203</v>
      </c>
      <c r="B17" s="5">
        <f>'Raw-Data'!O22</f>
        <v>63</v>
      </c>
      <c r="C17" s="7">
        <f>'Raw-Data'!P22</f>
        <v>0.94444444444444398</v>
      </c>
      <c r="D17" s="7">
        <f ca="1">IF(NOT($K16),D16,AVERAGE(OFFSET($M16,-1*MAX($L16,N16),0):OFFSET($M16,0,0)))</f>
        <v>0.84152003910068396</v>
      </c>
      <c r="E17" s="45">
        <f ca="1">IF(NOT($K16),E16,IFERROR(STDEV(OFFSET($M16,-1*MAX($L16,N16),0):OFFSET($M16,0,0)),E16))</f>
        <v>0.14587247534725187</v>
      </c>
      <c r="F17" s="7">
        <f t="shared" ca="1" si="0"/>
        <v>0.70349102409055375</v>
      </c>
      <c r="G17" s="6">
        <v>0.95</v>
      </c>
      <c r="H17" s="46">
        <f t="shared" ca="1" si="1"/>
        <v>0.70557797212083195</v>
      </c>
      <c r="I17" s="46">
        <f t="shared" ca="1" si="4"/>
        <v>0.20557797212083195</v>
      </c>
      <c r="J17" s="46">
        <f t="shared" ca="1" si="5"/>
        <v>3.2116174810107116</v>
      </c>
      <c r="K17" s="5" t="b">
        <f t="array" aca="1" ref="K17" ca="1">IFERROR(OR(ABS(I17)&gt;=4, ABS(J17)&gt;=4),FALSE())</f>
        <v>0</v>
      </c>
      <c r="L17" s="5">
        <f t="shared" ca="1" si="6"/>
        <v>9</v>
      </c>
      <c r="M17" s="7">
        <f t="shared" si="2"/>
        <v>0.94444444444444398</v>
      </c>
      <c r="N17" s="5">
        <f t="shared" si="7"/>
        <v>5</v>
      </c>
      <c r="O17" s="5" t="str">
        <f t="shared" si="3"/>
        <v>No</v>
      </c>
      <c r="P17" s="47"/>
    </row>
    <row r="18" spans="1:16" ht="15" customHeight="1" x14ac:dyDescent="0.35">
      <c r="A18" s="50">
        <f>'Raw-Data'!N21</f>
        <v>46204</v>
      </c>
      <c r="B18" s="51">
        <f>'Raw-Data'!O21</f>
        <v>40</v>
      </c>
      <c r="C18" s="52">
        <f>'Raw-Data'!P21</f>
        <v>0.74285714285714199</v>
      </c>
      <c r="D18" s="52">
        <f ca="1">IF(NOT($K17),D17,AVERAGE(OFFSET($M17,-1*MAX($L17,N17),0):OFFSET($M17,0,0)))</f>
        <v>0.84152003910068396</v>
      </c>
      <c r="E18" s="53">
        <f ca="1">IF(NOT($K17),E17,IFERROR(STDEV(OFFSET($M17,-1*MAX($L17,N17),0):OFFSET($M17,0,0)),E17))</f>
        <v>0.14587247534725187</v>
      </c>
      <c r="F18" s="52">
        <f t="shared" ca="1" si="0"/>
        <v>0.66829500005941211</v>
      </c>
      <c r="G18" s="54">
        <v>0.95</v>
      </c>
      <c r="H18" s="55">
        <f t="shared" ca="1" si="1"/>
        <v>-0.67636403652349963</v>
      </c>
      <c r="I18" s="55">
        <f t="shared" ca="1" si="4"/>
        <v>0</v>
      </c>
      <c r="J18" s="55">
        <f t="shared" ca="1" si="5"/>
        <v>4.387981517534211</v>
      </c>
      <c r="K18" s="51" t="b">
        <f t="array" aca="1" ref="K18" ca="1">IFERROR(OR(ABS(I18)&gt;=4, ABS(J18)&gt;=4),FALSE())</f>
        <v>1</v>
      </c>
      <c r="L18" s="51">
        <f t="shared" ca="1" si="6"/>
        <v>10</v>
      </c>
      <c r="M18" s="52">
        <f t="shared" si="2"/>
        <v>0.74285714285714199</v>
      </c>
      <c r="N18" s="51">
        <f t="shared" si="7"/>
        <v>5</v>
      </c>
      <c r="O18" s="51" t="str">
        <f t="shared" si="3"/>
        <v>No</v>
      </c>
      <c r="P18" s="47"/>
    </row>
    <row r="19" spans="1:16" ht="15" customHeight="1" x14ac:dyDescent="0.35">
      <c r="A19" s="44">
        <f>'Raw-Data'!N20</f>
        <v>46205</v>
      </c>
      <c r="B19" s="5">
        <f>'Raw-Data'!O20</f>
        <v>46</v>
      </c>
      <c r="C19" s="7">
        <f>'Raw-Data'!P20</f>
        <v>0.76190476190476097</v>
      </c>
      <c r="D19" s="7">
        <f ca="1">IF(NOT($K18),D18,AVERAGE(OFFSET($M18,-1*MAX($L18,N18),0):OFFSET($M18,0,0)))</f>
        <v>0.86079661420800979</v>
      </c>
      <c r="E19" s="45">
        <f ca="1">IF(NOT($K18),E18,IFERROR(STDEV(OFFSET($M18,-1*MAX($L18,N18),0):OFFSET($M18,0,0)),E18))</f>
        <v>9.442229187672771E-2</v>
      </c>
      <c r="F19" s="7">
        <f t="shared" ca="1" si="0"/>
        <v>0.70768169369969347</v>
      </c>
      <c r="G19" s="6">
        <v>0.95</v>
      </c>
      <c r="H19" s="46">
        <f t="shared" ca="1" si="1"/>
        <v>-1.0473358603957241</v>
      </c>
      <c r="I19" s="46">
        <f t="shared" ca="1" si="4"/>
        <v>0</v>
      </c>
      <c r="J19" s="46">
        <f t="shared" ca="1" si="5"/>
        <v>0</v>
      </c>
      <c r="K19" s="5" t="b">
        <f t="array" aca="1" ref="K19" ca="1">IFERROR(OR(ABS(I19)&gt;=4, ABS(J19)&gt;=4),FALSE())</f>
        <v>0</v>
      </c>
      <c r="L19" s="5">
        <f t="shared" ca="1" si="6"/>
        <v>0</v>
      </c>
      <c r="M19" s="7">
        <f t="shared" si="2"/>
        <v>0.76190476190476097</v>
      </c>
      <c r="N19" s="5">
        <f t="shared" si="7"/>
        <v>5</v>
      </c>
      <c r="O19" s="5" t="str">
        <f t="shared" si="3"/>
        <v>No</v>
      </c>
      <c r="P19" s="47"/>
    </row>
    <row r="20" spans="1:16" ht="15" customHeight="1" x14ac:dyDescent="0.35">
      <c r="A20" s="50">
        <f>'Raw-Data'!N19</f>
        <v>46206</v>
      </c>
      <c r="B20" s="51">
        <f>'Raw-Data'!O19</f>
        <v>48</v>
      </c>
      <c r="C20" s="52">
        <f>'Raw-Data'!P19</f>
        <v>0.69047619047619002</v>
      </c>
      <c r="D20" s="52">
        <f ca="1">IF(NOT($K19),D19,AVERAGE(OFFSET($M19,-1*MAX($L19,N19),0):OFFSET($M19,0,0)))</f>
        <v>0.86079661420800979</v>
      </c>
      <c r="E20" s="53">
        <f ca="1">IF(NOT($K19),E19,IFERROR(STDEV(OFFSET($M19,-1*MAX($L19,N19),0):OFFSET($M19,0,0)),E19))</f>
        <v>9.442229187672771E-2</v>
      </c>
      <c r="F20" s="52">
        <f t="shared" ca="1" si="0"/>
        <v>0.71090552676280228</v>
      </c>
      <c r="G20" s="54">
        <v>0.95</v>
      </c>
      <c r="H20" s="55">
        <f t="shared" ca="1" si="1"/>
        <v>-1.8038158187706381</v>
      </c>
      <c r="I20" s="55">
        <f t="shared" ca="1" si="4"/>
        <v>0</v>
      </c>
      <c r="J20" s="55">
        <f t="shared" ca="1" si="5"/>
        <v>2.3038158187706381</v>
      </c>
      <c r="K20" s="51" t="b">
        <f t="array" aca="1" ref="K20" ca="1">IFERROR(OR(ABS(I20)&gt;=4, ABS(J20)&gt;=4),FALSE())</f>
        <v>0</v>
      </c>
      <c r="L20" s="51">
        <f t="shared" ca="1" si="6"/>
        <v>1</v>
      </c>
      <c r="M20" s="52">
        <f t="shared" si="2"/>
        <v>0.69047619047619002</v>
      </c>
      <c r="N20" s="51">
        <f t="shared" si="7"/>
        <v>5</v>
      </c>
      <c r="O20" s="51" t="str">
        <f t="shared" si="3"/>
        <v>No</v>
      </c>
      <c r="P20" s="47"/>
    </row>
    <row r="21" spans="1:16" ht="15" customHeight="1" x14ac:dyDescent="0.35">
      <c r="A21" s="44">
        <f>'Raw-Data'!N18</f>
        <v>46207</v>
      </c>
      <c r="B21" s="5">
        <f>'Raw-Data'!O18</f>
        <v>54</v>
      </c>
      <c r="C21" s="7">
        <f>'Raw-Data'!P18</f>
        <v>0.81395348837209303</v>
      </c>
      <c r="D21" s="7">
        <f ca="1">IF(NOT($K20),D20,AVERAGE(OFFSET($M20,-1*MAX($L20,N20),0):OFFSET($M20,0,0)))</f>
        <v>0.86079661420800979</v>
      </c>
      <c r="E21" s="45">
        <f ca="1">IF(NOT($K20),E20,IFERROR(STDEV(OFFSET($M20,-1*MAX($L20,N20),0):OFFSET($M20,0,0)),E20))</f>
        <v>9.442229187672771E-2</v>
      </c>
      <c r="F21" s="7">
        <f t="shared" ca="1" si="0"/>
        <v>0.71947794171210044</v>
      </c>
      <c r="G21" s="6">
        <v>0.95</v>
      </c>
      <c r="H21" s="46">
        <f t="shared" ca="1" si="1"/>
        <v>-0.49610240235507569</v>
      </c>
      <c r="I21" s="46">
        <f t="shared" ca="1" si="4"/>
        <v>0</v>
      </c>
      <c r="J21" s="46">
        <f t="shared" ca="1" si="5"/>
        <v>3.2999182211257136</v>
      </c>
      <c r="K21" s="5" t="b">
        <f t="array" aca="1" ref="K21" ca="1">IFERROR(OR(ABS(I21)&gt;=4, ABS(J21)&gt;=4),FALSE())</f>
        <v>0</v>
      </c>
      <c r="L21" s="5">
        <f t="shared" ca="1" si="6"/>
        <v>2</v>
      </c>
      <c r="M21" s="7">
        <f t="shared" si="2"/>
        <v>0.81395348837209303</v>
      </c>
      <c r="N21" s="5">
        <f t="shared" si="7"/>
        <v>5</v>
      </c>
      <c r="O21" s="5" t="str">
        <f t="shared" si="3"/>
        <v>No</v>
      </c>
      <c r="P21" s="47"/>
    </row>
    <row r="22" spans="1:16" ht="15" customHeight="1" x14ac:dyDescent="0.35">
      <c r="A22" s="50">
        <f>'Raw-Data'!N17</f>
        <v>46208</v>
      </c>
      <c r="B22" s="51">
        <f>'Raw-Data'!O17</f>
        <v>57</v>
      </c>
      <c r="C22" s="52">
        <f>'Raw-Data'!P17</f>
        <v>0.84</v>
      </c>
      <c r="D22" s="52">
        <f ca="1">IF(NOT($K21),D21,AVERAGE(OFFSET($M21,-1*MAX($L21,N21),0):OFFSET($M21,0,0)))</f>
        <v>0.86079661420800979</v>
      </c>
      <c r="E22" s="53">
        <f ca="1">IF(NOT($K21),E21,IFERROR(STDEV(OFFSET($M21,-1*MAX($L21,N21),0):OFFSET($M21,0,0)),E21))</f>
        <v>9.442229187672771E-2</v>
      </c>
      <c r="F22" s="52">
        <f t="shared" ca="1" si="0"/>
        <v>0.72324711890041438</v>
      </c>
      <c r="G22" s="54">
        <v>0.95</v>
      </c>
      <c r="H22" s="55">
        <f t="shared" ca="1" si="1"/>
        <v>-0.22025110590580327</v>
      </c>
      <c r="I22" s="55">
        <f t="shared" ca="1" si="4"/>
        <v>0</v>
      </c>
      <c r="J22" s="55">
        <f t="shared" ca="1" si="5"/>
        <v>4.0201693270315175</v>
      </c>
      <c r="K22" s="51" t="b">
        <f t="array" aca="1" ref="K22" ca="1">IFERROR(OR(ABS(I22)&gt;=4, ABS(J22)&gt;=4),FALSE())</f>
        <v>1</v>
      </c>
      <c r="L22" s="51">
        <f t="shared" ca="1" si="6"/>
        <v>3</v>
      </c>
      <c r="M22" s="52">
        <f t="shared" si="2"/>
        <v>0.84</v>
      </c>
      <c r="N22" s="51">
        <f t="shared" si="7"/>
        <v>5</v>
      </c>
      <c r="O22" s="51" t="str">
        <f t="shared" si="3"/>
        <v>No</v>
      </c>
      <c r="P22" s="47"/>
    </row>
    <row r="23" spans="1:16" ht="15" customHeight="1" x14ac:dyDescent="0.35">
      <c r="A23" s="44">
        <f>'Raw-Data'!N16</f>
        <v>46209</v>
      </c>
      <c r="B23" s="5">
        <f>'Raw-Data'!O16</f>
        <v>48</v>
      </c>
      <c r="C23" s="7">
        <f>'Raw-Data'!P16</f>
        <v>0.80555555555555503</v>
      </c>
      <c r="D23" s="7">
        <f ca="1">IF(NOT($K22),D22,AVERAGE(OFFSET($M22,-1*MAX($L22,N22),0):OFFSET($M22,0,0)))</f>
        <v>0.79893933800910499</v>
      </c>
      <c r="E23" s="45">
        <f ca="1">IF(NOT($K22),E22,IFERROR(STDEV(OFFSET($M22,-1*MAX($L22,N22),0):OFFSET($M22,0,0)),E22))</f>
        <v>8.8728986792424316E-2</v>
      </c>
      <c r="F23" s="7">
        <f t="shared" ca="1" si="0"/>
        <v>0.6253907467277231</v>
      </c>
      <c r="G23" s="6">
        <v>0.95</v>
      </c>
      <c r="H23" s="46">
        <f t="shared" ca="1" si="1"/>
        <v>7.4566585122044074E-2</v>
      </c>
      <c r="I23" s="46">
        <f t="shared" ca="1" si="4"/>
        <v>0</v>
      </c>
      <c r="J23" s="46">
        <f t="shared" ca="1" si="5"/>
        <v>0</v>
      </c>
      <c r="K23" s="5" t="b">
        <f t="array" aca="1" ref="K23" ca="1">IFERROR(OR(ABS(I23)&gt;=4, ABS(J23)&gt;=4),FALSE())</f>
        <v>0</v>
      </c>
      <c r="L23" s="5">
        <f t="shared" ca="1" si="6"/>
        <v>0</v>
      </c>
      <c r="M23" s="7">
        <f t="shared" si="2"/>
        <v>0.80555555555555503</v>
      </c>
      <c r="N23" s="5">
        <f t="shared" si="7"/>
        <v>5</v>
      </c>
      <c r="O23" s="5" t="str">
        <f t="shared" si="3"/>
        <v>No</v>
      </c>
      <c r="P23" s="47"/>
    </row>
    <row r="24" spans="1:16" ht="15" customHeight="1" x14ac:dyDescent="0.35">
      <c r="A24" s="50">
        <f>'Raw-Data'!N15</f>
        <v>46210</v>
      </c>
      <c r="B24" s="51">
        <f>'Raw-Data'!O15</f>
        <v>41</v>
      </c>
      <c r="C24" s="52">
        <f>'Raw-Data'!P15</f>
        <v>0.8</v>
      </c>
      <c r="D24" s="52">
        <f ca="1">IF(NOT($K23),D23,AVERAGE(OFFSET($M23,-1*MAX($L23,N23),0):OFFSET($M23,0,0)))</f>
        <v>0.79893933800910499</v>
      </c>
      <c r="E24" s="53">
        <f ca="1">IF(NOT($K23),E23,IFERROR(STDEV(OFFSET($M23,-1*MAX($L23,N23),0):OFFSET($M23,0,0)),E23))</f>
        <v>8.8728986792424316E-2</v>
      </c>
      <c r="F24" s="52">
        <f t="shared" ca="1" si="0"/>
        <v>0.61115914413182759</v>
      </c>
      <c r="G24" s="54">
        <v>0.95</v>
      </c>
      <c r="H24" s="55">
        <f t="shared" ca="1" si="1"/>
        <v>1.1953951343729424E-2</v>
      </c>
      <c r="I24" s="55">
        <f t="shared" ca="1" si="4"/>
        <v>0</v>
      </c>
      <c r="J24" s="55">
        <f t="shared" ca="1" si="5"/>
        <v>0.48804604865627055</v>
      </c>
      <c r="K24" s="51" t="b">
        <f t="array" aca="1" ref="K24" ca="1">IFERROR(OR(ABS(I24)&gt;=4, ABS(J24)&gt;=4),FALSE())</f>
        <v>0</v>
      </c>
      <c r="L24" s="51">
        <f t="shared" ca="1" si="6"/>
        <v>1</v>
      </c>
      <c r="M24" s="52">
        <f t="shared" si="2"/>
        <v>0.8</v>
      </c>
      <c r="N24" s="51">
        <f t="shared" si="7"/>
        <v>5</v>
      </c>
      <c r="O24" s="51" t="str">
        <f t="shared" si="3"/>
        <v>No</v>
      </c>
      <c r="P24" s="47"/>
    </row>
    <row r="25" spans="1:16" ht="15" customHeight="1" x14ac:dyDescent="0.35">
      <c r="A25" s="44">
        <f>'Raw-Data'!N14</f>
        <v>46211</v>
      </c>
      <c r="B25" s="5">
        <f>'Raw-Data'!O14</f>
        <v>52</v>
      </c>
      <c r="C25" s="7">
        <f>'Raw-Data'!P14</f>
        <v>0.72499999999999998</v>
      </c>
      <c r="D25" s="7">
        <f ca="1">IF(NOT($K24),D24,AVERAGE(OFFSET($M24,-1*MAX($L24,N24),0):OFFSET($M24,0,0)))</f>
        <v>0.79893933800910499</v>
      </c>
      <c r="E25" s="45">
        <f ca="1">IF(NOT($K24),E24,IFERROR(STDEV(OFFSET($M24,-1*MAX($L24,N24),0):OFFSET($M24,0,0)),E24))</f>
        <v>8.8728986792424316E-2</v>
      </c>
      <c r="F25" s="7">
        <f t="shared" ca="1" si="0"/>
        <v>0.63219924490493706</v>
      </c>
      <c r="G25" s="6">
        <v>0.95</v>
      </c>
      <c r="H25" s="46">
        <f t="shared" ca="1" si="1"/>
        <v>-0.83331660466360646</v>
      </c>
      <c r="I25" s="46">
        <f t="shared" ca="1" si="4"/>
        <v>0</v>
      </c>
      <c r="J25" s="46">
        <f t="shared" ca="1" si="5"/>
        <v>1.821362653319877</v>
      </c>
      <c r="K25" s="5" t="b">
        <f t="array" aca="1" ref="K25" ca="1">IFERROR(OR(ABS(I25)&gt;=4, ABS(J25)&gt;=4),FALSE())</f>
        <v>0</v>
      </c>
      <c r="L25" s="5">
        <f t="shared" ca="1" si="6"/>
        <v>2</v>
      </c>
      <c r="M25" s="7">
        <f t="shared" si="2"/>
        <v>0.72499999999999998</v>
      </c>
      <c r="N25" s="5">
        <f t="shared" si="7"/>
        <v>5</v>
      </c>
      <c r="O25" s="5" t="str">
        <f t="shared" si="3"/>
        <v>No</v>
      </c>
      <c r="P25" s="47"/>
    </row>
    <row r="26" spans="1:16" ht="15" customHeight="1" x14ac:dyDescent="0.35">
      <c r="A26" s="50">
        <f>'Raw-Data'!N13</f>
        <v>46212</v>
      </c>
      <c r="B26" s="51">
        <f>'Raw-Data'!O13</f>
        <v>38</v>
      </c>
      <c r="C26" s="52">
        <f>'Raw-Data'!P13</f>
        <v>0.94117647058823495</v>
      </c>
      <c r="D26" s="52">
        <f ca="1">IF(NOT($K25),D25,AVERAGE(OFFSET($M25,-1*MAX($L25,N25),0):OFFSET($M25,0,0)))</f>
        <v>0.79893933800910499</v>
      </c>
      <c r="E26" s="53">
        <f ca="1">IF(NOT($K25),E25,IFERROR(STDEV(OFFSET($M25,-1*MAX($L25,N25),0):OFFSET($M25,0,0)),E25))</f>
        <v>8.8728986792424316E-2</v>
      </c>
      <c r="F26" s="52">
        <f t="shared" ca="1" si="0"/>
        <v>0.60388756015214562</v>
      </c>
      <c r="G26" s="54">
        <v>0.95</v>
      </c>
      <c r="H26" s="55">
        <f t="shared" ca="1" si="1"/>
        <v>1.6030514685340029</v>
      </c>
      <c r="I26" s="55">
        <f t="shared" ca="1" si="4"/>
        <v>1.1030514685340029</v>
      </c>
      <c r="J26" s="55">
        <f t="shared" ca="1" si="5"/>
        <v>0.71831118478587408</v>
      </c>
      <c r="K26" s="51" t="b">
        <f t="array" aca="1" ref="K26" ca="1">IFERROR(OR(ABS(I26)&gt;=4, ABS(J26)&gt;=4),FALSE())</f>
        <v>0</v>
      </c>
      <c r="L26" s="51">
        <f t="shared" ca="1" si="6"/>
        <v>3</v>
      </c>
      <c r="M26" s="52">
        <f t="shared" si="2"/>
        <v>0.94117647058823495</v>
      </c>
      <c r="N26" s="51">
        <f t="shared" si="7"/>
        <v>5</v>
      </c>
      <c r="O26" s="51" t="str">
        <f t="shared" si="3"/>
        <v>No</v>
      </c>
      <c r="P26" s="47"/>
    </row>
    <row r="27" spans="1:16" ht="15" customHeight="1" x14ac:dyDescent="0.35">
      <c r="A27" s="44">
        <f>'Raw-Data'!N12</f>
        <v>46213</v>
      </c>
      <c r="B27" s="5">
        <f>'Raw-Data'!O12</f>
        <v>42</v>
      </c>
      <c r="C27" s="7">
        <f>'Raw-Data'!P12</f>
        <v>0.891891891891891</v>
      </c>
      <c r="D27" s="7">
        <f ca="1">IF(NOT($K26),D26,AVERAGE(OFFSET($M26,-1*MAX($L26,N26),0):OFFSET($M26,0,0)))</f>
        <v>0.79893933800910499</v>
      </c>
      <c r="E27" s="45">
        <f ca="1">IF(NOT($K26),E26,IFERROR(STDEV(OFFSET($M26,-1*MAX($L26,N26),0):OFFSET($M26,0,0)),E26))</f>
        <v>8.8728986792424316E-2</v>
      </c>
      <c r="F27" s="7">
        <f t="shared" ca="1" si="0"/>
        <v>0.61340808985704953</v>
      </c>
      <c r="G27" s="6">
        <v>0.95</v>
      </c>
      <c r="H27" s="46">
        <f t="shared" ca="1" si="1"/>
        <v>1.0476007587040574</v>
      </c>
      <c r="I27" s="46">
        <f t="shared" ca="1" si="4"/>
        <v>1.6506522272380604</v>
      </c>
      <c r="J27" s="46">
        <f t="shared" ca="1" si="5"/>
        <v>0.17071042608181664</v>
      </c>
      <c r="K27" s="5" t="b">
        <f t="array" aca="1" ref="K27" ca="1">IFERROR(OR(ABS(I27)&gt;=4, ABS(J27)&gt;=4),FALSE())</f>
        <v>0</v>
      </c>
      <c r="L27" s="5">
        <f t="shared" ca="1" si="6"/>
        <v>4</v>
      </c>
      <c r="M27" s="7">
        <f t="shared" si="2"/>
        <v>0.891891891891891</v>
      </c>
      <c r="N27" s="5">
        <f t="shared" si="7"/>
        <v>5</v>
      </c>
      <c r="O27" s="5" t="str">
        <f t="shared" si="3"/>
        <v>No</v>
      </c>
      <c r="P27" s="47"/>
    </row>
    <row r="28" spans="1:16" ht="15" customHeight="1" x14ac:dyDescent="0.35">
      <c r="A28" s="50">
        <f>'Raw-Data'!N11</f>
        <v>46214</v>
      </c>
      <c r="B28" s="51">
        <f>'Raw-Data'!O11</f>
        <v>48</v>
      </c>
      <c r="C28" s="52">
        <f>'Raw-Data'!P11</f>
        <v>1</v>
      </c>
      <c r="D28" s="52">
        <f ca="1">IF(NOT($K27),D27,AVERAGE(OFFSET($M27,-1*MAX($L27,N27),0):OFFSET($M27,0,0)))</f>
        <v>0.79893933800910499</v>
      </c>
      <c r="E28" s="53">
        <f ca="1">IF(NOT($K27),E27,IFERROR(STDEV(OFFSET($M27,-1*MAX($L27,N27),0):OFFSET($M27,0,0)),E27))</f>
        <v>8.8728986792424316E-2</v>
      </c>
      <c r="F28" s="52">
        <f t="shared" ca="1" si="0"/>
        <v>0.6253907467277231</v>
      </c>
      <c r="G28" s="54">
        <v>0.95</v>
      </c>
      <c r="H28" s="55">
        <f t="shared" ca="1" si="1"/>
        <v>2.2660087673632892</v>
      </c>
      <c r="I28" s="55">
        <f t="shared" ca="1" si="4"/>
        <v>3.4166609946013495</v>
      </c>
      <c r="J28" s="55">
        <f t="shared" ca="1" si="5"/>
        <v>0</v>
      </c>
      <c r="K28" s="51" t="b">
        <f t="array" aca="1" ref="K28" ca="1">IFERROR(OR(ABS(I28)&gt;=4, ABS(J28)&gt;=4),FALSE())</f>
        <v>0</v>
      </c>
      <c r="L28" s="51">
        <f t="shared" ca="1" si="6"/>
        <v>5</v>
      </c>
      <c r="M28" s="52">
        <f t="shared" si="2"/>
        <v>1</v>
      </c>
      <c r="N28" s="51">
        <f t="shared" si="7"/>
        <v>5</v>
      </c>
      <c r="O28" s="51" t="str">
        <f t="shared" si="3"/>
        <v>Yes</v>
      </c>
      <c r="P28" s="47"/>
    </row>
    <row r="29" spans="1:16" ht="15" customHeight="1" x14ac:dyDescent="0.35">
      <c r="A29" s="44">
        <f>'Raw-Data'!N10</f>
        <v>46215</v>
      </c>
      <c r="B29" s="5">
        <f>'Raw-Data'!O10</f>
        <v>45</v>
      </c>
      <c r="C29" s="7">
        <f>'Raw-Data'!P10</f>
        <v>0.75609756097560898</v>
      </c>
      <c r="D29" s="7">
        <f ca="1">IF(NOT($K28),D28,AVERAGE(OFFSET($M28,-1*MAX($L28,N28),0):OFFSET($M28,0,0)))</f>
        <v>0.79893933800910499</v>
      </c>
      <c r="E29" s="45">
        <f ca="1">IF(NOT($K28),E28,IFERROR(STDEV(OFFSET($M28,-1*MAX($L28,N28),0):OFFSET($M28,0,0)),E28))</f>
        <v>8.8728986792424316E-2</v>
      </c>
      <c r="F29" s="7">
        <f t="shared" ca="1" si="0"/>
        <v>0.61969912366495838</v>
      </c>
      <c r="G29" s="6">
        <v>0.95</v>
      </c>
      <c r="H29" s="46">
        <f t="shared" ca="1" si="1"/>
        <v>-0.48283856924593938</v>
      </c>
      <c r="I29" s="46">
        <f t="shared" ca="1" si="4"/>
        <v>2.4338224253554102</v>
      </c>
      <c r="J29" s="46">
        <f t="shared" ca="1" si="5"/>
        <v>0.98283856924593938</v>
      </c>
      <c r="K29" s="5" t="b">
        <f t="array" aca="1" ref="K29" ca="1">IFERROR(OR(ABS(I29)&gt;=4, ABS(J29)&gt;=4),FALSE())</f>
        <v>0</v>
      </c>
      <c r="L29" s="5">
        <f t="shared" ca="1" si="6"/>
        <v>6</v>
      </c>
      <c r="M29" s="7">
        <f t="shared" si="2"/>
        <v>0.75609756097560898</v>
      </c>
      <c r="N29" s="5">
        <f t="shared" si="7"/>
        <v>5</v>
      </c>
      <c r="O29" s="5" t="str">
        <f t="shared" si="3"/>
        <v>No</v>
      </c>
      <c r="P29" s="47"/>
    </row>
    <row r="30" spans="1:16" ht="15" customHeight="1" x14ac:dyDescent="0.35">
      <c r="A30" s="50">
        <f>'Raw-Data'!N9</f>
        <v>46216</v>
      </c>
      <c r="B30" s="51">
        <f>'Raw-Data'!O9</f>
        <v>60</v>
      </c>
      <c r="C30" s="52">
        <f>'Raw-Data'!P9</f>
        <v>0.90196078431372495</v>
      </c>
      <c r="D30" s="52">
        <f ca="1">IF(NOT($K29),D29,AVERAGE(OFFSET($M29,-1*MAX($L29,N29),0):OFFSET($M29,0,0)))</f>
        <v>0.79893933800910499</v>
      </c>
      <c r="E30" s="53">
        <f ca="1">IF(NOT($K29),E29,IFERROR(STDEV(OFFSET($M29,-1*MAX($L29,N29),0):OFFSET($M29,0,0)),E29))</f>
        <v>8.8728986792424316E-2</v>
      </c>
      <c r="F30" s="52">
        <f t="shared" ca="1" si="0"/>
        <v>0.64371275900730607</v>
      </c>
      <c r="G30" s="54">
        <v>0.95</v>
      </c>
      <c r="H30" s="55">
        <f t="shared" ca="1" si="1"/>
        <v>1.1610799359811459</v>
      </c>
      <c r="I30" s="55">
        <f t="shared" ca="1" si="4"/>
        <v>3.0949023613365561</v>
      </c>
      <c r="J30" s="55">
        <f t="shared" ca="1" si="5"/>
        <v>0.32175863326479348</v>
      </c>
      <c r="K30" s="51" t="b">
        <f t="array" aca="1" ref="K30" ca="1">IFERROR(OR(ABS(I30)&gt;=4, ABS(J30)&gt;=4),FALSE())</f>
        <v>0</v>
      </c>
      <c r="L30" s="51">
        <f t="shared" ca="1" si="6"/>
        <v>7</v>
      </c>
      <c r="M30" s="52">
        <f t="shared" si="2"/>
        <v>0.90196078431372495</v>
      </c>
      <c r="N30" s="51">
        <f t="shared" si="7"/>
        <v>5</v>
      </c>
      <c r="O30" s="51" t="str">
        <f t="shared" si="3"/>
        <v>No</v>
      </c>
      <c r="P30" s="47"/>
    </row>
    <row r="31" spans="1:16" ht="15" customHeight="1" x14ac:dyDescent="0.35">
      <c r="A31" s="44">
        <f>'Raw-Data'!N8</f>
        <v>46217</v>
      </c>
      <c r="B31" s="5">
        <f>'Raw-Data'!O8</f>
        <v>54</v>
      </c>
      <c r="C31" s="7">
        <f>'Raw-Data'!P8</f>
        <v>0.79545454545454497</v>
      </c>
      <c r="D31" s="7">
        <f ca="1">IF(NOT($K30),D30,AVERAGE(OFFSET($M30,-1*MAX($L30,N30),0):OFFSET($M30,0,0)))</f>
        <v>0.79893933800910499</v>
      </c>
      <c r="E31" s="45">
        <f ca="1">IF(NOT($K30),E30,IFERROR(STDEV(OFFSET($M30,-1*MAX($L30,N30),0):OFFSET($M30,0,0)),E30))</f>
        <v>8.8728986792424316E-2</v>
      </c>
      <c r="F31" s="7">
        <f t="shared" ca="1" si="0"/>
        <v>0.63531615699518806</v>
      </c>
      <c r="G31" s="6">
        <v>0.95</v>
      </c>
      <c r="H31" s="46">
        <f t="shared" ca="1" si="1"/>
        <v>-3.9274567202175641E-2</v>
      </c>
      <c r="I31" s="46">
        <f t="shared" ca="1" si="4"/>
        <v>2.5556277941343803</v>
      </c>
      <c r="J31" s="46">
        <f t="shared" ca="1" si="5"/>
        <v>0.86103320046696918</v>
      </c>
      <c r="K31" s="5" t="b">
        <f t="array" aca="1" ref="K31" ca="1">IFERROR(OR(ABS(I31)&gt;=4, ABS(J31)&gt;=4),FALSE())</f>
        <v>0</v>
      </c>
      <c r="L31" s="5">
        <f t="shared" ca="1" si="6"/>
        <v>8</v>
      </c>
      <c r="M31" s="7">
        <f t="shared" si="2"/>
        <v>0.79545454545454497</v>
      </c>
      <c r="N31" s="5">
        <f t="shared" si="7"/>
        <v>5</v>
      </c>
      <c r="O31" s="5" t="str">
        <f t="shared" si="3"/>
        <v>No</v>
      </c>
      <c r="P31" s="47"/>
    </row>
    <row r="32" spans="1:16" ht="15" customHeight="1" x14ac:dyDescent="0.35">
      <c r="A32" s="50">
        <f>'Raw-Data'!N7</f>
        <v>46218</v>
      </c>
      <c r="B32" s="51">
        <f>'Raw-Data'!O7</f>
        <v>66</v>
      </c>
      <c r="C32" s="52">
        <f>'Raw-Data'!P7</f>
        <v>0.72219999999999995</v>
      </c>
      <c r="D32" s="52">
        <f ca="1">IF(NOT($K31),D31,AVERAGE(OFFSET($M31,-1*MAX($L31,N31),0):OFFSET($M31,0,0)))</f>
        <v>0.79893933800910499</v>
      </c>
      <c r="E32" s="53">
        <f ca="1">IF(NOT($K31),E31,IFERROR(STDEV(OFFSET($M31,-1*MAX($L31,N31),0):OFFSET($M31,0,0)),E31))</f>
        <v>8.8728986792424316E-2</v>
      </c>
      <c r="F32" s="52">
        <f t="shared" ca="1" si="0"/>
        <v>0.65093660207431436</v>
      </c>
      <c r="G32" s="54">
        <v>0.95</v>
      </c>
      <c r="H32" s="55">
        <f t="shared" ca="1" si="1"/>
        <v>-0.86487337208788062</v>
      </c>
      <c r="I32" s="55">
        <f t="shared" ca="1" si="4"/>
        <v>1.1907544220464996</v>
      </c>
      <c r="J32" s="55">
        <f t="shared" ca="1" si="5"/>
        <v>2.2259065725548499</v>
      </c>
      <c r="K32" s="51" t="b">
        <f t="array" aca="1" ref="K32" ca="1">IFERROR(OR(ABS(I32)&gt;=4, ABS(J32)&gt;=4),FALSE())</f>
        <v>0</v>
      </c>
      <c r="L32" s="51">
        <f t="shared" ca="1" si="6"/>
        <v>9</v>
      </c>
      <c r="M32" s="52">
        <f t="shared" si="2"/>
        <v>0.72219999999999995</v>
      </c>
      <c r="N32" s="51">
        <f t="shared" si="7"/>
        <v>5</v>
      </c>
      <c r="O32" s="51" t="str">
        <f t="shared" si="3"/>
        <v>No</v>
      </c>
      <c r="P32" s="47"/>
    </row>
    <row r="33" spans="1:16" ht="15" customHeight="1" x14ac:dyDescent="0.35">
      <c r="A33" s="44">
        <f>'Raw-Data'!N6</f>
        <v>46219</v>
      </c>
      <c r="B33" s="5">
        <f>'Raw-Data'!O6</f>
        <v>54</v>
      </c>
      <c r="C33" s="7">
        <f>'Raw-Data'!P6</f>
        <v>0.72089999999999999</v>
      </c>
      <c r="D33" s="7">
        <f ca="1">IF(NOT($K32),D32,AVERAGE(OFFSET($M32,-1*MAX($L32,N32),0):OFFSET($M32,0,0)))</f>
        <v>0.79893933800910499</v>
      </c>
      <c r="E33" s="45">
        <f ca="1">IF(NOT($K32),E32,IFERROR(STDEV(OFFSET($M32,-1*MAX($L32,N32),0):OFFSET($M32,0,0)),E32))</f>
        <v>8.8728986792424316E-2</v>
      </c>
      <c r="F33" s="7">
        <f t="shared" ca="1" si="0"/>
        <v>0.63531615699518806</v>
      </c>
      <c r="G33" s="6">
        <v>0.95</v>
      </c>
      <c r="H33" s="46">
        <f t="shared" ca="1" si="1"/>
        <v>-0.87952472839200735</v>
      </c>
      <c r="I33" s="46">
        <f t="shared" ca="1" si="4"/>
        <v>0</v>
      </c>
      <c r="J33" s="46">
        <f t="shared" ca="1" si="5"/>
        <v>3.605431300946857</v>
      </c>
      <c r="K33" s="5" t="b">
        <f t="array" aca="1" ref="K33" ca="1">IFERROR(OR(ABS(I33)&gt;=4, ABS(J33)&gt;=4),FALSE())</f>
        <v>0</v>
      </c>
      <c r="L33" s="5">
        <f t="shared" ca="1" si="6"/>
        <v>10</v>
      </c>
      <c r="M33" s="7">
        <f t="shared" si="2"/>
        <v>0.72089999999999999</v>
      </c>
      <c r="N33" s="5">
        <f t="shared" si="7"/>
        <v>5</v>
      </c>
      <c r="O33" s="5" t="str">
        <f t="shared" si="3"/>
        <v>No</v>
      </c>
      <c r="P33" s="47"/>
    </row>
    <row r="36" spans="1:16" ht="15.5" x14ac:dyDescent="0.35">
      <c r="A36" s="66" t="s">
        <v>53</v>
      </c>
      <c r="B36" s="66"/>
      <c r="C36" s="66"/>
      <c r="D36" s="66"/>
      <c r="E36" s="66"/>
      <c r="F36" s="66"/>
      <c r="G36" s="66"/>
      <c r="H36" s="66"/>
      <c r="I36" s="66"/>
      <c r="J36" s="66"/>
      <c r="K36" s="66"/>
      <c r="L36" s="66"/>
      <c r="M36" s="66"/>
      <c r="N36" s="66"/>
      <c r="O36" s="66"/>
    </row>
    <row r="38" spans="1:16" x14ac:dyDescent="0.35">
      <c r="A38" s="67" t="s">
        <v>54</v>
      </c>
      <c r="B38" s="67"/>
      <c r="C38" s="67"/>
      <c r="D38" s="67"/>
      <c r="E38" s="67"/>
      <c r="F38" s="67"/>
      <c r="G38" s="67"/>
      <c r="H38" s="67"/>
      <c r="I38" s="67"/>
      <c r="J38" s="67"/>
      <c r="K38" s="67"/>
      <c r="L38" s="67"/>
      <c r="M38" s="67"/>
      <c r="N38" s="67"/>
      <c r="O38" s="67"/>
    </row>
    <row r="39" spans="1:16" ht="15" customHeight="1" x14ac:dyDescent="0.35">
      <c r="A39" s="65" t="s">
        <v>62</v>
      </c>
      <c r="B39" s="65"/>
      <c r="C39" s="65"/>
      <c r="D39" s="65"/>
      <c r="E39" s="65"/>
      <c r="F39" s="65"/>
      <c r="G39" s="65"/>
      <c r="H39" s="65"/>
      <c r="I39" s="65"/>
      <c r="J39" s="65"/>
      <c r="K39" s="65"/>
      <c r="L39" s="65"/>
      <c r="M39" s="65"/>
      <c r="N39" s="65"/>
      <c r="O39" s="65"/>
    </row>
    <row r="40" spans="1:16" x14ac:dyDescent="0.35">
      <c r="A40" s="65"/>
      <c r="B40" s="65"/>
      <c r="C40" s="65"/>
      <c r="D40" s="65"/>
      <c r="E40" s="65"/>
      <c r="F40" s="65"/>
      <c r="G40" s="65"/>
      <c r="H40" s="65"/>
      <c r="I40" s="65"/>
      <c r="J40" s="65"/>
      <c r="K40" s="65"/>
      <c r="L40" s="65"/>
      <c r="M40" s="65"/>
      <c r="N40" s="65"/>
      <c r="O40" s="65"/>
    </row>
    <row r="43" spans="1:16" x14ac:dyDescent="0.35">
      <c r="A43" s="67" t="s">
        <v>56</v>
      </c>
      <c r="B43" s="67"/>
      <c r="C43" s="67"/>
      <c r="D43" s="67"/>
      <c r="E43" s="67"/>
      <c r="F43" s="67"/>
      <c r="G43" s="67"/>
      <c r="H43" s="67"/>
      <c r="I43" s="67"/>
      <c r="J43" s="67"/>
      <c r="K43" s="67"/>
      <c r="L43" s="67"/>
      <c r="M43" s="67"/>
      <c r="N43" s="67"/>
      <c r="O43" s="67"/>
    </row>
    <row r="44" spans="1:16" ht="15" customHeight="1" x14ac:dyDescent="0.35">
      <c r="A44" s="65" t="s">
        <v>63</v>
      </c>
      <c r="B44" s="65"/>
      <c r="C44" s="65"/>
      <c r="D44" s="65"/>
      <c r="E44" s="65"/>
      <c r="F44" s="65"/>
      <c r="G44" s="65"/>
      <c r="H44" s="65"/>
      <c r="I44" s="65"/>
      <c r="J44" s="65"/>
      <c r="K44" s="65"/>
      <c r="L44" s="65"/>
      <c r="M44" s="65"/>
      <c r="N44" s="65"/>
      <c r="O44" s="65"/>
    </row>
    <row r="45" spans="1:16" x14ac:dyDescent="0.35">
      <c r="A45" s="65"/>
      <c r="B45" s="65"/>
      <c r="C45" s="65"/>
      <c r="D45" s="65"/>
      <c r="E45" s="65"/>
      <c r="F45" s="65"/>
      <c r="G45" s="65"/>
      <c r="H45" s="65"/>
      <c r="I45" s="65"/>
      <c r="J45" s="65"/>
      <c r="K45" s="65"/>
      <c r="L45" s="65"/>
      <c r="M45" s="65"/>
      <c r="N45" s="65"/>
      <c r="O45" s="65"/>
    </row>
  </sheetData>
  <mergeCells count="8">
    <mergeCell ref="A44:O45"/>
    <mergeCell ref="A1:O1"/>
    <mergeCell ref="A2:O2"/>
    <mergeCell ref="R4:S4"/>
    <mergeCell ref="A36:O36"/>
    <mergeCell ref="A38:O38"/>
    <mergeCell ref="A39:O40"/>
    <mergeCell ref="A43:O43"/>
  </mergeCells>
  <conditionalFormatting sqref="K5:K33">
    <cfRule type="cellIs" dxfId="14" priority="2" operator="equal">
      <formula>1</formula>
    </cfRule>
  </conditionalFormatting>
  <conditionalFormatting sqref="O5:O33">
    <cfRule type="cellIs" dxfId="13" priority="3" operator="equal">
      <formula>"No"</formula>
    </cfRule>
    <cfRule type="cellIs" dxfId="12" priority="4" operator="equal">
      <formula>"Yes"</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5"/>
  <sheetViews>
    <sheetView zoomScaleNormal="100" workbookViewId="0"/>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64</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11</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'Raw-Data'!N34</f>
        <v>46191</v>
      </c>
      <c r="B5" s="5">
        <f>'Raw-Data'!O34</f>
        <v>44</v>
      </c>
      <c r="C5" s="7">
        <f>'Raw-Data'!Q34</f>
        <v>1</v>
      </c>
      <c r="D5" s="7">
        <v>0.85</v>
      </c>
      <c r="E5" s="45">
        <v>0.05</v>
      </c>
      <c r="F5" s="7">
        <f t="shared" ref="F5:F33" si="0">MAX(0,D5-3*SQRT(D5*(1-D5)/B5))</f>
        <v>0.68850837342281346</v>
      </c>
      <c r="G5" s="6">
        <v>0.9</v>
      </c>
      <c r="H5" s="46">
        <f t="shared" ref="H5:H33" si="1">(C5-D5)/E5</f>
        <v>3.0000000000000004</v>
      </c>
      <c r="I5" s="46">
        <v>0</v>
      </c>
      <c r="J5" s="46">
        <v>0</v>
      </c>
      <c r="K5" s="5" t="b">
        <f t="array" ref="K5">IFERROR(OR(ABS(I5)&gt;=4, ABS(J5)&gt;=4),FALSE())</f>
        <v>0</v>
      </c>
      <c r="L5" s="5">
        <v>0</v>
      </c>
      <c r="M5" s="7">
        <f t="shared" ref="M5:M33" si="2">IF(P5="y","",C5)</f>
        <v>1</v>
      </c>
      <c r="N5" s="5">
        <v>1</v>
      </c>
      <c r="O5" s="5" t="str">
        <f t="shared" ref="O5:O33" si="3">IF(C5&gt;=G5,"Yes","No")</f>
        <v>Yes</v>
      </c>
      <c r="P5" s="47"/>
      <c r="R5" s="48" t="s">
        <v>4</v>
      </c>
      <c r="S5" s="49">
        <v>0.9</v>
      </c>
    </row>
    <row r="6" spans="1:19" ht="15" customHeight="1" x14ac:dyDescent="0.35">
      <c r="A6" s="50">
        <f>'Raw-Data'!N33</f>
        <v>46192</v>
      </c>
      <c r="B6" s="51">
        <f>'Raw-Data'!O33</f>
        <v>37</v>
      </c>
      <c r="C6" s="52">
        <f>'Raw-Data'!Q33</f>
        <v>0.39100000000000001</v>
      </c>
      <c r="D6" s="52">
        <f ca="1">IF(NOT($K5),D5,AVERAGE(OFFSET($M5,-1*MAX($L5,N5),0):OFFSET($M5,0,0)))</f>
        <v>0.85</v>
      </c>
      <c r="E6" s="53">
        <f ca="1">IF(NOT($K5),E5,IFERROR(STDEV(OFFSET($M5,-1*MAX($L5,N5),0):OFFSET($M5,0,0)),E5))</f>
        <v>0.05</v>
      </c>
      <c r="F6" s="52">
        <f t="shared" ca="1" si="0"/>
        <v>0.67389345976507997</v>
      </c>
      <c r="G6" s="54">
        <v>0.9</v>
      </c>
      <c r="H6" s="55">
        <f t="shared" ca="1" si="1"/>
        <v>-9.1799999999999979</v>
      </c>
      <c r="I6" s="55">
        <f t="shared" ref="I6:I33" ca="1" si="4">IF(P6="y",I5,IF(K5,0,MAX(0,I5+H6-0.5)))</f>
        <v>0</v>
      </c>
      <c r="J6" s="55">
        <f t="shared" ref="J6:J33" ca="1" si="5">IF(P6="y",J5,IF(K5,0,MAX(0,J5-H6+0.5)))</f>
        <v>9.6799999999999979</v>
      </c>
      <c r="K6" s="51" t="b">
        <f t="array" aca="1" ref="K6" ca="1">IFERROR(OR(ABS(I6)&gt;=4, ABS(J6)&gt;=4),FALSE())</f>
        <v>1</v>
      </c>
      <c r="L6" s="51">
        <f t="shared" ref="L6:L33" si="6">IF(K5,0,L5+1)</f>
        <v>1</v>
      </c>
      <c r="M6" s="52">
        <f t="shared" si="2"/>
        <v>0.39100000000000001</v>
      </c>
      <c r="N6" s="51">
        <f t="shared" ref="N6:N33" si="7">MIN(5,N5+1)</f>
        <v>2</v>
      </c>
      <c r="O6" s="51" t="str">
        <f t="shared" si="3"/>
        <v>No</v>
      </c>
      <c r="P6" s="47"/>
      <c r="R6" s="48" t="s">
        <v>46</v>
      </c>
      <c r="S6" s="56">
        <v>29</v>
      </c>
    </row>
    <row r="7" spans="1:19" ht="15" customHeight="1" x14ac:dyDescent="0.35">
      <c r="A7" s="44">
        <f>'Raw-Data'!N32</f>
        <v>46193</v>
      </c>
      <c r="B7" s="5">
        <f>'Raw-Data'!O32</f>
        <v>54</v>
      </c>
      <c r="C7" s="7">
        <f>'Raw-Data'!Q32</f>
        <v>0.26100000000000001</v>
      </c>
      <c r="D7" s="7">
        <f ca="1">IF(NOT($K6),D6,AVERAGE(OFFSET($M6,-1*MAX($L6,N6),0):OFFSET($M6,0,0)))</f>
        <v>0.69550000000000001</v>
      </c>
      <c r="E7" s="45">
        <f ca="1">IF(NOT($K6),E6,IFERROR(STDEV(OFFSET($M6,-1*MAX($L6,N6),0):OFFSET($M6,0,0)),E6))</f>
        <v>0.43062802974260744</v>
      </c>
      <c r="F7" s="7">
        <f t="shared" ca="1" si="0"/>
        <v>0.50762603959036789</v>
      </c>
      <c r="G7" s="6">
        <v>0.9</v>
      </c>
      <c r="H7" s="46">
        <f t="shared" ca="1" si="1"/>
        <v>-1.0089914496734151</v>
      </c>
      <c r="I7" s="46">
        <f t="shared" ca="1" si="4"/>
        <v>0</v>
      </c>
      <c r="J7" s="46">
        <f t="shared" ca="1" si="5"/>
        <v>0</v>
      </c>
      <c r="K7" s="5" t="b">
        <f t="array" aca="1" ref="K7" ca="1">IFERROR(OR(ABS(I7)&gt;=4, ABS(J7)&gt;=4),FALSE())</f>
        <v>0</v>
      </c>
      <c r="L7" s="5">
        <f t="shared" ca="1" si="6"/>
        <v>0</v>
      </c>
      <c r="M7" s="7">
        <f t="shared" si="2"/>
        <v>0.26100000000000001</v>
      </c>
      <c r="N7" s="5">
        <f t="shared" si="7"/>
        <v>3</v>
      </c>
      <c r="O7" s="5" t="str">
        <f t="shared" si="3"/>
        <v>No</v>
      </c>
      <c r="P7" s="47"/>
      <c r="R7" s="48" t="s">
        <v>47</v>
      </c>
      <c r="S7" s="56">
        <f ca="1">COUNTIF(K5:K33,TRUE())</f>
        <v>3</v>
      </c>
    </row>
    <row r="8" spans="1:19" ht="15" customHeight="1" x14ac:dyDescent="0.35">
      <c r="A8" s="50">
        <f>'Raw-Data'!N31</f>
        <v>46194</v>
      </c>
      <c r="B8" s="51">
        <f>'Raw-Data'!O31</f>
        <v>35</v>
      </c>
      <c r="C8" s="52">
        <f>'Raw-Data'!Q31</f>
        <v>0.48399999999999999</v>
      </c>
      <c r="D8" s="52">
        <f ca="1">IF(NOT($K7),D7,AVERAGE(OFFSET($M7,-1*MAX($L7,N7),0):OFFSET($M7,0,0)))</f>
        <v>0.69550000000000001</v>
      </c>
      <c r="E8" s="53">
        <f ca="1">IF(NOT($K7),E7,IFERROR(STDEV(OFFSET($M7,-1*MAX($L7,N7),0):OFFSET($M7,0,0)),E7))</f>
        <v>0.43062802974260744</v>
      </c>
      <c r="F8" s="52">
        <f t="shared" ca="1" si="0"/>
        <v>0.4621383707633151</v>
      </c>
      <c r="G8" s="54">
        <v>0.9</v>
      </c>
      <c r="H8" s="55">
        <f t="shared" ca="1" si="1"/>
        <v>-0.49114313373055768</v>
      </c>
      <c r="I8" s="55">
        <f t="shared" ca="1" si="4"/>
        <v>0</v>
      </c>
      <c r="J8" s="55">
        <f t="shared" ca="1" si="5"/>
        <v>0.99114313373055762</v>
      </c>
      <c r="K8" s="51" t="b">
        <f t="array" aca="1" ref="K8" ca="1">IFERROR(OR(ABS(I8)&gt;=4, ABS(J8)&gt;=4),FALSE())</f>
        <v>0</v>
      </c>
      <c r="L8" s="51">
        <f t="shared" ca="1" si="6"/>
        <v>1</v>
      </c>
      <c r="M8" s="52">
        <f t="shared" si="2"/>
        <v>0.48399999999999999</v>
      </c>
      <c r="N8" s="51">
        <f t="shared" si="7"/>
        <v>4</v>
      </c>
      <c r="O8" s="51" t="str">
        <f t="shared" si="3"/>
        <v>No</v>
      </c>
      <c r="P8" s="47"/>
      <c r="R8" s="48" t="s">
        <v>48</v>
      </c>
      <c r="S8" s="57" t="str">
        <f>COUNTIF(O5:O33,"Yes")&amp;"/"&amp;29</f>
        <v>5/29</v>
      </c>
    </row>
    <row r="9" spans="1:19" ht="15" customHeight="1" x14ac:dyDescent="0.35">
      <c r="A9" s="44">
        <f>'Raw-Data'!N30</f>
        <v>46195</v>
      </c>
      <c r="B9" s="5">
        <f>'Raw-Data'!O30</f>
        <v>39</v>
      </c>
      <c r="C9" s="7">
        <f>'Raw-Data'!Q30</f>
        <v>0.71</v>
      </c>
      <c r="D9" s="7">
        <f ca="1">IF(NOT($K8),D8,AVERAGE(OFFSET($M8,-1*MAX($L8,N8),0):OFFSET($M8,0,0)))</f>
        <v>0.69550000000000001</v>
      </c>
      <c r="E9" s="45">
        <f ca="1">IF(NOT($K8),E8,IFERROR(STDEV(OFFSET($M8,-1*MAX($L8,N8),0):OFFSET($M8,0,0)),E8))</f>
        <v>0.43062802974260744</v>
      </c>
      <c r="F9" s="7">
        <f t="shared" ca="1" si="0"/>
        <v>0.47442930994815258</v>
      </c>
      <c r="G9" s="6">
        <v>0.9</v>
      </c>
      <c r="H9" s="46">
        <f t="shared" ca="1" si="1"/>
        <v>3.3671751485073592E-2</v>
      </c>
      <c r="I9" s="46">
        <f t="shared" ca="1" si="4"/>
        <v>0</v>
      </c>
      <c r="J9" s="46">
        <f t="shared" ca="1" si="5"/>
        <v>1.4574713822454841</v>
      </c>
      <c r="K9" s="5" t="b">
        <f t="array" aca="1" ref="K9" ca="1">IFERROR(OR(ABS(I9)&gt;=4, ABS(J9)&gt;=4),FALSE())</f>
        <v>0</v>
      </c>
      <c r="L9" s="5">
        <f t="shared" ca="1" si="6"/>
        <v>2</v>
      </c>
      <c r="M9" s="7">
        <f t="shared" si="2"/>
        <v>0.71</v>
      </c>
      <c r="N9" s="5">
        <f t="shared" si="7"/>
        <v>5</v>
      </c>
      <c r="O9" s="5" t="str">
        <f t="shared" si="3"/>
        <v>No</v>
      </c>
      <c r="P9" s="47"/>
      <c r="R9" s="48" t="s">
        <v>49</v>
      </c>
      <c r="S9" s="58">
        <f>AVERAGE(C5:C33)</f>
        <v>0.59921034482758617</v>
      </c>
    </row>
    <row r="10" spans="1:19" ht="15" customHeight="1" x14ac:dyDescent="0.35">
      <c r="A10" s="50">
        <f>'Raw-Data'!N29</f>
        <v>46196</v>
      </c>
      <c r="B10" s="51">
        <f>'Raw-Data'!O29</f>
        <v>47</v>
      </c>
      <c r="C10" s="52">
        <f>'Raw-Data'!Q29</f>
        <v>0.82799999999999996</v>
      </c>
      <c r="D10" s="52">
        <f ca="1">IF(NOT($K9),D9,AVERAGE(OFFSET($M9,-1*MAX($L9,N9),0):OFFSET($M9,0,0)))</f>
        <v>0.69550000000000001</v>
      </c>
      <c r="E10" s="53">
        <f ca="1">IF(NOT($K9),E9,IFERROR(STDEV(OFFSET($M9,-1*MAX($L9,N9),0):OFFSET($M9,0,0)),E9))</f>
        <v>0.43062802974260744</v>
      </c>
      <c r="F10" s="52">
        <f t="shared" ca="1" si="0"/>
        <v>0.49412083238592885</v>
      </c>
      <c r="G10" s="54">
        <v>0.9</v>
      </c>
      <c r="H10" s="55">
        <f t="shared" ca="1" si="1"/>
        <v>0.30769014288084567</v>
      </c>
      <c r="I10" s="55">
        <f t="shared" ca="1" si="4"/>
        <v>0</v>
      </c>
      <c r="J10" s="55">
        <f t="shared" ca="1" si="5"/>
        <v>1.6497812393646385</v>
      </c>
      <c r="K10" s="51" t="b">
        <f t="array" aca="1" ref="K10" ca="1">IFERROR(OR(ABS(I10)&gt;=4, ABS(J10)&gt;=4),FALSE())</f>
        <v>0</v>
      </c>
      <c r="L10" s="51">
        <f t="shared" ca="1" si="6"/>
        <v>3</v>
      </c>
      <c r="M10" s="52">
        <f t="shared" si="2"/>
        <v>0.82799999999999996</v>
      </c>
      <c r="N10" s="51">
        <f t="shared" si="7"/>
        <v>5</v>
      </c>
      <c r="O10" s="51" t="str">
        <f t="shared" si="3"/>
        <v>No</v>
      </c>
      <c r="P10" s="47"/>
      <c r="R10" s="48" t="s">
        <v>50</v>
      </c>
      <c r="S10" s="58">
        <f>AVERAGE(C5:C33)-G5</f>
        <v>-0.30078965517241385</v>
      </c>
    </row>
    <row r="11" spans="1:19" ht="15" customHeight="1" x14ac:dyDescent="0.35">
      <c r="A11" s="44">
        <f>'Raw-Data'!N28</f>
        <v>46197</v>
      </c>
      <c r="B11" s="5">
        <f>'Raw-Data'!O28</f>
        <v>44</v>
      </c>
      <c r="C11" s="7">
        <f>'Raw-Data'!Q28</f>
        <v>0.83299999999999996</v>
      </c>
      <c r="D11" s="7">
        <f ca="1">IF(NOT($K10),D10,AVERAGE(OFFSET($M10,-1*MAX($L10,N10),0):OFFSET($M10,0,0)))</f>
        <v>0.69550000000000001</v>
      </c>
      <c r="E11" s="45">
        <f ca="1">IF(NOT($K10),E10,IFERROR(STDEV(OFFSET($M10,-1*MAX($L10,N10),0):OFFSET($M10,0,0)),E10))</f>
        <v>0.43062802974260744</v>
      </c>
      <c r="F11" s="7">
        <f t="shared" ca="1" si="0"/>
        <v>0.48736882687287636</v>
      </c>
      <c r="G11" s="6">
        <v>0.9</v>
      </c>
      <c r="H11" s="46">
        <f t="shared" ca="1" si="1"/>
        <v>0.31930109166880216</v>
      </c>
      <c r="I11" s="46">
        <f t="shared" ca="1" si="4"/>
        <v>0</v>
      </c>
      <c r="J11" s="46">
        <f t="shared" ca="1" si="5"/>
        <v>1.8304801476958363</v>
      </c>
      <c r="K11" s="5" t="b">
        <f t="array" aca="1" ref="K11" ca="1">IFERROR(OR(ABS(I11)&gt;=4, ABS(J11)&gt;=4),FALSE())</f>
        <v>0</v>
      </c>
      <c r="L11" s="5">
        <f t="shared" ca="1" si="6"/>
        <v>4</v>
      </c>
      <c r="M11" s="7">
        <f t="shared" si="2"/>
        <v>0.83299999999999996</v>
      </c>
      <c r="N11" s="5">
        <f t="shared" si="7"/>
        <v>5</v>
      </c>
      <c r="O11" s="5" t="str">
        <f t="shared" si="3"/>
        <v>No</v>
      </c>
      <c r="P11" s="47"/>
      <c r="R11" s="48" t="s">
        <v>51</v>
      </c>
      <c r="S11" s="58">
        <f ca="1">D33</f>
        <v>0.45533333333333331</v>
      </c>
    </row>
    <row r="12" spans="1:19" ht="15" customHeight="1" x14ac:dyDescent="0.35">
      <c r="A12" s="50">
        <f>'Raw-Data'!N27</f>
        <v>46198</v>
      </c>
      <c r="B12" s="51">
        <f>'Raw-Data'!O27</f>
        <v>46</v>
      </c>
      <c r="C12" s="52">
        <f>'Raw-Data'!Q27</f>
        <v>0.90500000000000003</v>
      </c>
      <c r="D12" s="52">
        <f ca="1">IF(NOT($K11),D11,AVERAGE(OFFSET($M11,-1*MAX($L11,N11),0):OFFSET($M11,0,0)))</f>
        <v>0.69550000000000001</v>
      </c>
      <c r="E12" s="53">
        <f ca="1">IF(NOT($K11),E11,IFERROR(STDEV(OFFSET($M11,-1*MAX($L11,N11),0):OFFSET($M11,0,0)),E11))</f>
        <v>0.43062802974260744</v>
      </c>
      <c r="F12" s="52">
        <f t="shared" ca="1" si="0"/>
        <v>0.49194369703135971</v>
      </c>
      <c r="G12" s="54">
        <v>0.9</v>
      </c>
      <c r="H12" s="55">
        <f t="shared" ca="1" si="1"/>
        <v>0.48649875421537508</v>
      </c>
      <c r="I12" s="55">
        <f t="shared" ca="1" si="4"/>
        <v>0</v>
      </c>
      <c r="J12" s="55">
        <f t="shared" ca="1" si="5"/>
        <v>1.8439813934804612</v>
      </c>
      <c r="K12" s="51" t="b">
        <f t="array" aca="1" ref="K12" ca="1">IFERROR(OR(ABS(I12)&gt;=4, ABS(J12)&gt;=4),FALSE())</f>
        <v>0</v>
      </c>
      <c r="L12" s="51">
        <f t="shared" ca="1" si="6"/>
        <v>5</v>
      </c>
      <c r="M12" s="52">
        <f t="shared" si="2"/>
        <v>0.90500000000000003</v>
      </c>
      <c r="N12" s="51">
        <f t="shared" si="7"/>
        <v>5</v>
      </c>
      <c r="O12" s="51" t="str">
        <f t="shared" si="3"/>
        <v>Yes</v>
      </c>
      <c r="P12" s="47"/>
      <c r="R12" s="48" t="s">
        <v>52</v>
      </c>
      <c r="S12" s="58">
        <f ca="1">F33</f>
        <v>0.25202532033790775</v>
      </c>
    </row>
    <row r="13" spans="1:19" ht="15" customHeight="1" x14ac:dyDescent="0.35">
      <c r="A13" s="44">
        <f>'Raw-Data'!N26</f>
        <v>46199</v>
      </c>
      <c r="B13" s="5">
        <f>'Raw-Data'!O26</f>
        <v>48</v>
      </c>
      <c r="C13" s="7">
        <f>'Raw-Data'!Q26</f>
        <v>0.90900000000000003</v>
      </c>
      <c r="D13" s="7">
        <f ca="1">IF(NOT($K12),D12,AVERAGE(OFFSET($M12,-1*MAX($L12,N12),0):OFFSET($M12,0,0)))</f>
        <v>0.69550000000000001</v>
      </c>
      <c r="E13" s="45">
        <f ca="1">IF(NOT($K12),E12,IFERROR(STDEV(OFFSET($M12,-1*MAX($L12,N12),0):OFFSET($M12,0,0)),E12))</f>
        <v>0.43062802974260744</v>
      </c>
      <c r="F13" s="7">
        <f t="shared" ca="1" si="0"/>
        <v>0.4962295728789643</v>
      </c>
      <c r="G13" s="6">
        <v>0.9</v>
      </c>
      <c r="H13" s="46">
        <f t="shared" ca="1" si="1"/>
        <v>0.49578751324574027</v>
      </c>
      <c r="I13" s="46">
        <f t="shared" ca="1" si="4"/>
        <v>0</v>
      </c>
      <c r="J13" s="46">
        <f t="shared" ca="1" si="5"/>
        <v>1.8481938802347209</v>
      </c>
      <c r="K13" s="5" t="b">
        <f t="array" aca="1" ref="K13" ca="1">IFERROR(OR(ABS(I13)&gt;=4, ABS(J13)&gt;=4),FALSE())</f>
        <v>0</v>
      </c>
      <c r="L13" s="5">
        <f t="shared" ca="1" si="6"/>
        <v>6</v>
      </c>
      <c r="M13" s="7">
        <f t="shared" si="2"/>
        <v>0.90900000000000003</v>
      </c>
      <c r="N13" s="5">
        <f t="shared" si="7"/>
        <v>5</v>
      </c>
      <c r="O13" s="5" t="str">
        <f t="shared" si="3"/>
        <v>Yes</v>
      </c>
      <c r="P13" s="47"/>
    </row>
    <row r="14" spans="1:19" ht="15" customHeight="1" x14ac:dyDescent="0.35">
      <c r="A14" s="50">
        <f>'Raw-Data'!N25</f>
        <v>46200</v>
      </c>
      <c r="B14" s="51">
        <f>'Raw-Data'!O25</f>
        <v>47</v>
      </c>
      <c r="C14" s="52">
        <f>'Raw-Data'!Q25</f>
        <v>0.93300000000000005</v>
      </c>
      <c r="D14" s="52">
        <f ca="1">IF(NOT($K13),D13,AVERAGE(OFFSET($M13,-1*MAX($L13,N13),0):OFFSET($M13,0,0)))</f>
        <v>0.69550000000000001</v>
      </c>
      <c r="E14" s="53">
        <f ca="1">IF(NOT($K13),E13,IFERROR(STDEV(OFFSET($M13,-1*MAX($L13,N13),0):OFFSET($M13,0,0)),E13))</f>
        <v>0.43062802974260744</v>
      </c>
      <c r="F14" s="52">
        <f t="shared" ca="1" si="0"/>
        <v>0.49412083238592885</v>
      </c>
      <c r="G14" s="54">
        <v>0.9</v>
      </c>
      <c r="H14" s="55">
        <f t="shared" ca="1" si="1"/>
        <v>0.55152006742793125</v>
      </c>
      <c r="I14" s="55">
        <f t="shared" ca="1" si="4"/>
        <v>5.1520067427931249E-2</v>
      </c>
      <c r="J14" s="55">
        <f t="shared" ca="1" si="5"/>
        <v>1.7966738128067896</v>
      </c>
      <c r="K14" s="51" t="b">
        <f t="array" aca="1" ref="K14" ca="1">IFERROR(OR(ABS(I14)&gt;=4, ABS(J14)&gt;=4),FALSE())</f>
        <v>0</v>
      </c>
      <c r="L14" s="51">
        <f t="shared" ca="1" si="6"/>
        <v>7</v>
      </c>
      <c r="M14" s="52">
        <f t="shared" si="2"/>
        <v>0.93300000000000005</v>
      </c>
      <c r="N14" s="51">
        <f t="shared" si="7"/>
        <v>5</v>
      </c>
      <c r="O14" s="51" t="str">
        <f t="shared" si="3"/>
        <v>Yes</v>
      </c>
      <c r="P14" s="47"/>
    </row>
    <row r="15" spans="1:19" ht="15" customHeight="1" x14ac:dyDescent="0.35">
      <c r="A15" s="44">
        <f>'Raw-Data'!N24</f>
        <v>46201</v>
      </c>
      <c r="B15" s="5">
        <f>'Raw-Data'!O24</f>
        <v>43</v>
      </c>
      <c r="C15" s="7">
        <f>'Raw-Data'!Q24</f>
        <v>0.63200000000000001</v>
      </c>
      <c r="D15" s="7">
        <f ca="1">IF(NOT($K14),D14,AVERAGE(OFFSET($M14,-1*MAX($L14,N14),0):OFFSET($M14,0,0)))</f>
        <v>0.69550000000000001</v>
      </c>
      <c r="E15" s="45">
        <f ca="1">IF(NOT($K14),E14,IFERROR(STDEV(OFFSET($M14,-1*MAX($L14,N14),0):OFFSET($M14,0,0)),E14))</f>
        <v>0.43062802974260744</v>
      </c>
      <c r="F15" s="7">
        <f t="shared" ca="1" si="0"/>
        <v>0.48496260620486797</v>
      </c>
      <c r="G15" s="6">
        <v>0.9</v>
      </c>
      <c r="H15" s="46">
        <f t="shared" ca="1" si="1"/>
        <v>-0.14745904960704687</v>
      </c>
      <c r="I15" s="46">
        <f t="shared" ca="1" si="4"/>
        <v>0</v>
      </c>
      <c r="J15" s="46">
        <f t="shared" ca="1" si="5"/>
        <v>2.4441328624138365</v>
      </c>
      <c r="K15" s="5" t="b">
        <f t="array" aca="1" ref="K15" ca="1">IFERROR(OR(ABS(I15)&gt;=4, ABS(J15)&gt;=4),FALSE())</f>
        <v>0</v>
      </c>
      <c r="L15" s="5">
        <f t="shared" ca="1" si="6"/>
        <v>8</v>
      </c>
      <c r="M15" s="7">
        <f t="shared" si="2"/>
        <v>0.63200000000000001</v>
      </c>
      <c r="N15" s="5">
        <f t="shared" si="7"/>
        <v>5</v>
      </c>
      <c r="O15" s="5" t="str">
        <f t="shared" si="3"/>
        <v>No</v>
      </c>
      <c r="P15" s="47"/>
    </row>
    <row r="16" spans="1:19" ht="15" customHeight="1" x14ac:dyDescent="0.35">
      <c r="A16" s="50">
        <f>'Raw-Data'!N23</f>
        <v>46202</v>
      </c>
      <c r="B16" s="51">
        <f>'Raw-Data'!O23</f>
        <v>36</v>
      </c>
      <c r="C16" s="52">
        <f>'Raw-Data'!Q23</f>
        <v>0.40799999999999997</v>
      </c>
      <c r="D16" s="52">
        <f ca="1">IF(NOT($K15),D15,AVERAGE(OFFSET($M15,-1*MAX($L15,N15),0):OFFSET($M15,0,0)))</f>
        <v>0.69550000000000001</v>
      </c>
      <c r="E16" s="53">
        <f ca="1">IF(NOT($K15),E15,IFERROR(STDEV(OFFSET($M15,-1*MAX($L15,N15),0):OFFSET($M15,0,0)),E15))</f>
        <v>0.43062802974260744</v>
      </c>
      <c r="F16" s="52">
        <f t="shared" ca="1" si="0"/>
        <v>0.46540233052027669</v>
      </c>
      <c r="G16" s="54">
        <v>0.9</v>
      </c>
      <c r="H16" s="55">
        <f t="shared" ca="1" si="1"/>
        <v>-0.66762955530749568</v>
      </c>
      <c r="I16" s="55">
        <f t="shared" ca="1" si="4"/>
        <v>0</v>
      </c>
      <c r="J16" s="55">
        <f t="shared" ca="1" si="5"/>
        <v>3.6117624177213323</v>
      </c>
      <c r="K16" s="51" t="b">
        <f t="array" aca="1" ref="K16" ca="1">IFERROR(OR(ABS(I16)&gt;=4, ABS(J16)&gt;=4),FALSE())</f>
        <v>0</v>
      </c>
      <c r="L16" s="51">
        <f t="shared" ca="1" si="6"/>
        <v>9</v>
      </c>
      <c r="M16" s="52">
        <f t="shared" si="2"/>
        <v>0.40799999999999997</v>
      </c>
      <c r="N16" s="51">
        <f t="shared" si="7"/>
        <v>5</v>
      </c>
      <c r="O16" s="51" t="str">
        <f t="shared" si="3"/>
        <v>No</v>
      </c>
      <c r="P16" s="47"/>
    </row>
    <row r="17" spans="1:16" ht="15" customHeight="1" x14ac:dyDescent="0.35">
      <c r="A17" s="44">
        <f>'Raw-Data'!N22</f>
        <v>46203</v>
      </c>
      <c r="B17" s="5">
        <f>'Raw-Data'!O22</f>
        <v>63</v>
      </c>
      <c r="C17" s="7">
        <f>'Raw-Data'!Q22</f>
        <v>0.98399999999999999</v>
      </c>
      <c r="D17" s="7">
        <f ca="1">IF(NOT($K16),D16,AVERAGE(OFFSET($M16,-1*MAX($L16,N16),0):OFFSET($M16,0,0)))</f>
        <v>0.69550000000000001</v>
      </c>
      <c r="E17" s="45">
        <f ca="1">IF(NOT($K16),E16,IFERROR(STDEV(OFFSET($M16,-1*MAX($L16,N16),0):OFFSET($M16,0,0)),E16))</f>
        <v>0.43062802974260744</v>
      </c>
      <c r="F17" s="7">
        <f t="shared" ca="1" si="0"/>
        <v>0.52156251122889008</v>
      </c>
      <c r="G17" s="6">
        <v>0.9</v>
      </c>
      <c r="H17" s="46">
        <f t="shared" ca="1" si="1"/>
        <v>0.66995174506508681</v>
      </c>
      <c r="I17" s="46">
        <f t="shared" ca="1" si="4"/>
        <v>0.16995174506508681</v>
      </c>
      <c r="J17" s="46">
        <f t="shared" ca="1" si="5"/>
        <v>3.4418106726562456</v>
      </c>
      <c r="K17" s="5" t="b">
        <f t="array" aca="1" ref="K17" ca="1">IFERROR(OR(ABS(I17)&gt;=4, ABS(J17)&gt;=4),FALSE())</f>
        <v>0</v>
      </c>
      <c r="L17" s="5">
        <f t="shared" ca="1" si="6"/>
        <v>10</v>
      </c>
      <c r="M17" s="7">
        <f t="shared" si="2"/>
        <v>0.98399999999999999</v>
      </c>
      <c r="N17" s="5">
        <f t="shared" si="7"/>
        <v>5</v>
      </c>
      <c r="O17" s="5" t="str">
        <f t="shared" si="3"/>
        <v>Yes</v>
      </c>
      <c r="P17" s="47"/>
    </row>
    <row r="18" spans="1:16" ht="15" customHeight="1" x14ac:dyDescent="0.35">
      <c r="A18" s="50">
        <f>'Raw-Data'!N21</f>
        <v>46204</v>
      </c>
      <c r="B18" s="51">
        <f>'Raw-Data'!O21</f>
        <v>40</v>
      </c>
      <c r="C18" s="52">
        <f>'Raw-Data'!Q21</f>
        <v>0.39500000000000002</v>
      </c>
      <c r="D18" s="52">
        <f ca="1">IF(NOT($K17),D17,AVERAGE(OFFSET($M17,-1*MAX($L17,N17),0):OFFSET($M17,0,0)))</f>
        <v>0.69550000000000001</v>
      </c>
      <c r="E18" s="53">
        <f ca="1">IF(NOT($K17),E17,IFERROR(STDEV(OFFSET($M17,-1*MAX($L17,N17),0):OFFSET($M17,0,0)),E17))</f>
        <v>0.43062802974260744</v>
      </c>
      <c r="F18" s="52">
        <f t="shared" ca="1" si="0"/>
        <v>0.47721018404423904</v>
      </c>
      <c r="G18" s="54">
        <v>0.9</v>
      </c>
      <c r="H18" s="55">
        <f t="shared" ca="1" si="1"/>
        <v>-0.69781802215618238</v>
      </c>
      <c r="I18" s="55">
        <f t="shared" ca="1" si="4"/>
        <v>0</v>
      </c>
      <c r="J18" s="55">
        <f t="shared" ca="1" si="5"/>
        <v>4.6396286948124281</v>
      </c>
      <c r="K18" s="51" t="b">
        <f t="array" aca="1" ref="K18" ca="1">IFERROR(OR(ABS(I18)&gt;=4, ABS(J18)&gt;=4),FALSE())</f>
        <v>1</v>
      </c>
      <c r="L18" s="51">
        <f t="shared" ca="1" si="6"/>
        <v>11</v>
      </c>
      <c r="M18" s="52">
        <f t="shared" si="2"/>
        <v>0.39500000000000002</v>
      </c>
      <c r="N18" s="51">
        <f t="shared" si="7"/>
        <v>5</v>
      </c>
      <c r="O18" s="51" t="str">
        <f t="shared" si="3"/>
        <v>No</v>
      </c>
      <c r="P18" s="47"/>
    </row>
    <row r="19" spans="1:16" ht="15" customHeight="1" x14ac:dyDescent="0.35">
      <c r="A19" s="44">
        <f>'Raw-Data'!N20</f>
        <v>46205</v>
      </c>
      <c r="B19" s="5">
        <f>'Raw-Data'!O20</f>
        <v>46</v>
      </c>
      <c r="C19" s="7">
        <f>'Raw-Data'!Q20</f>
        <v>0.219</v>
      </c>
      <c r="D19" s="7">
        <f ca="1">IF(NOT($K18),D18,AVERAGE(OFFSET($M18,-1*MAX($L18,N18),0):OFFSET($M18,0,0)))</f>
        <v>0.69016666666666671</v>
      </c>
      <c r="E19" s="45">
        <f ca="1">IF(NOT($K18),E18,IFERROR(STDEV(OFFSET($M18,-1*MAX($L18,N18),0):OFFSET($M18,0,0)),E18))</f>
        <v>0.24789177746212812</v>
      </c>
      <c r="F19" s="7">
        <f t="shared" ca="1" si="0"/>
        <v>0.48562424255648473</v>
      </c>
      <c r="G19" s="6">
        <v>0.9</v>
      </c>
      <c r="H19" s="46">
        <f t="shared" ca="1" si="1"/>
        <v>-1.9006950189731469</v>
      </c>
      <c r="I19" s="46">
        <f t="shared" ca="1" si="4"/>
        <v>0</v>
      </c>
      <c r="J19" s="46">
        <f t="shared" ca="1" si="5"/>
        <v>0</v>
      </c>
      <c r="K19" s="5" t="b">
        <f t="array" aca="1" ref="K19" ca="1">IFERROR(OR(ABS(I19)&gt;=4, ABS(J19)&gt;=4),FALSE())</f>
        <v>0</v>
      </c>
      <c r="L19" s="5">
        <f t="shared" ca="1" si="6"/>
        <v>0</v>
      </c>
      <c r="M19" s="7">
        <f t="shared" si="2"/>
        <v>0.219</v>
      </c>
      <c r="N19" s="5">
        <f t="shared" si="7"/>
        <v>5</v>
      </c>
      <c r="O19" s="5" t="str">
        <f t="shared" si="3"/>
        <v>No</v>
      </c>
      <c r="P19" s="47"/>
    </row>
    <row r="20" spans="1:16" ht="15" customHeight="1" x14ac:dyDescent="0.35">
      <c r="A20" s="50">
        <f>'Raw-Data'!N19</f>
        <v>46206</v>
      </c>
      <c r="B20" s="51">
        <f>'Raw-Data'!O19</f>
        <v>48</v>
      </c>
      <c r="C20" s="52">
        <f>'Raw-Data'!Q19</f>
        <v>0.30099999999999999</v>
      </c>
      <c r="D20" s="52">
        <f ca="1">IF(NOT($K19),D19,AVERAGE(OFFSET($M19,-1*MAX($L19,N19),0):OFFSET($M19,0,0)))</f>
        <v>0.69016666666666671</v>
      </c>
      <c r="E20" s="53">
        <f ca="1">IF(NOT($K19),E19,IFERROR(STDEV(OFFSET($M19,-1*MAX($L19,N19),0):OFFSET($M19,0,0)),E19))</f>
        <v>0.24789177746212812</v>
      </c>
      <c r="F20" s="52">
        <f t="shared" ca="1" si="0"/>
        <v>0.48993088117449579</v>
      </c>
      <c r="G20" s="54">
        <v>0.9</v>
      </c>
      <c r="H20" s="55">
        <f t="shared" ca="1" si="1"/>
        <v>-1.5699055073584358</v>
      </c>
      <c r="I20" s="55">
        <f t="shared" ca="1" si="4"/>
        <v>0</v>
      </c>
      <c r="J20" s="55">
        <f t="shared" ca="1" si="5"/>
        <v>2.0699055073584356</v>
      </c>
      <c r="K20" s="51" t="b">
        <f t="array" aca="1" ref="K20" ca="1">IFERROR(OR(ABS(I20)&gt;=4, ABS(J20)&gt;=4),FALSE())</f>
        <v>0</v>
      </c>
      <c r="L20" s="51">
        <f t="shared" ca="1" si="6"/>
        <v>1</v>
      </c>
      <c r="M20" s="52">
        <f t="shared" si="2"/>
        <v>0.30099999999999999</v>
      </c>
      <c r="N20" s="51">
        <f t="shared" si="7"/>
        <v>5</v>
      </c>
      <c r="O20" s="51" t="str">
        <f t="shared" si="3"/>
        <v>No</v>
      </c>
      <c r="P20" s="47"/>
    </row>
    <row r="21" spans="1:16" ht="15" customHeight="1" x14ac:dyDescent="0.35">
      <c r="A21" s="44">
        <f>'Raw-Data'!N18</f>
        <v>46207</v>
      </c>
      <c r="B21" s="5">
        <f>'Raw-Data'!O18</f>
        <v>54</v>
      </c>
      <c r="C21" s="7">
        <f>'Raw-Data'!Q18</f>
        <v>0.48899999999999999</v>
      </c>
      <c r="D21" s="7">
        <f ca="1">IF(NOT($K20),D20,AVERAGE(OFFSET($M20,-1*MAX($L20,N20),0):OFFSET($M20,0,0)))</f>
        <v>0.69016666666666671</v>
      </c>
      <c r="E21" s="45">
        <f ca="1">IF(NOT($K20),E20,IFERROR(STDEV(OFFSET($M20,-1*MAX($L20,N20),0):OFFSET($M20,0,0)),E20))</f>
        <v>0.24789177746212812</v>
      </c>
      <c r="F21" s="7">
        <f t="shared" ca="1" si="0"/>
        <v>0.50138255765636153</v>
      </c>
      <c r="G21" s="6">
        <v>0.9</v>
      </c>
      <c r="H21" s="46">
        <f t="shared" ca="1" si="1"/>
        <v>-0.81151004170519581</v>
      </c>
      <c r="I21" s="46">
        <f t="shared" ca="1" si="4"/>
        <v>0</v>
      </c>
      <c r="J21" s="46">
        <f t="shared" ca="1" si="5"/>
        <v>3.3814155490636315</v>
      </c>
      <c r="K21" s="5" t="b">
        <f t="array" aca="1" ref="K21" ca="1">IFERROR(OR(ABS(I21)&gt;=4, ABS(J21)&gt;=4),FALSE())</f>
        <v>0</v>
      </c>
      <c r="L21" s="5">
        <f t="shared" ca="1" si="6"/>
        <v>2</v>
      </c>
      <c r="M21" s="7">
        <f t="shared" si="2"/>
        <v>0.48899999999999999</v>
      </c>
      <c r="N21" s="5">
        <f t="shared" si="7"/>
        <v>5</v>
      </c>
      <c r="O21" s="5" t="str">
        <f t="shared" si="3"/>
        <v>No</v>
      </c>
      <c r="P21" s="47"/>
    </row>
    <row r="22" spans="1:16" ht="15" customHeight="1" x14ac:dyDescent="0.35">
      <c r="A22" s="50">
        <f>'Raw-Data'!N17</f>
        <v>46208</v>
      </c>
      <c r="B22" s="51">
        <f>'Raw-Data'!O17</f>
        <v>57</v>
      </c>
      <c r="C22" s="52">
        <f>'Raw-Data'!Q17</f>
        <v>0.34399999999999997</v>
      </c>
      <c r="D22" s="52">
        <f ca="1">IF(NOT($K21),D21,AVERAGE(OFFSET($M21,-1*MAX($L21,N21),0):OFFSET($M21,0,0)))</f>
        <v>0.69016666666666671</v>
      </c>
      <c r="E22" s="53">
        <f ca="1">IF(NOT($K21),E21,IFERROR(STDEV(OFFSET($M21,-1*MAX($L21,N21),0):OFFSET($M21,0,0)),E21))</f>
        <v>0.24789177746212812</v>
      </c>
      <c r="F22" s="52">
        <f t="shared" ca="1" si="0"/>
        <v>0.50641770796332763</v>
      </c>
      <c r="G22" s="54">
        <v>0.9</v>
      </c>
      <c r="H22" s="55">
        <f t="shared" ca="1" si="1"/>
        <v>-1.396442714682429</v>
      </c>
      <c r="I22" s="55">
        <f t="shared" ca="1" si="4"/>
        <v>0</v>
      </c>
      <c r="J22" s="55">
        <f t="shared" ca="1" si="5"/>
        <v>5.2778582637460607</v>
      </c>
      <c r="K22" s="51" t="b">
        <f t="array" aca="1" ref="K22" ca="1">IFERROR(OR(ABS(I22)&gt;=4, ABS(J22)&gt;=4),FALSE())</f>
        <v>1</v>
      </c>
      <c r="L22" s="51">
        <f t="shared" ca="1" si="6"/>
        <v>3</v>
      </c>
      <c r="M22" s="52">
        <f t="shared" si="2"/>
        <v>0.34399999999999997</v>
      </c>
      <c r="N22" s="51">
        <f t="shared" si="7"/>
        <v>5</v>
      </c>
      <c r="O22" s="51" t="str">
        <f t="shared" si="3"/>
        <v>No</v>
      </c>
      <c r="P22" s="47"/>
    </row>
    <row r="23" spans="1:16" ht="15" customHeight="1" x14ac:dyDescent="0.35">
      <c r="A23" s="44">
        <f>'Raw-Data'!N16</f>
        <v>46209</v>
      </c>
      <c r="B23" s="5">
        <f>'Raw-Data'!O16</f>
        <v>48</v>
      </c>
      <c r="C23" s="7">
        <f>'Raw-Data'!Q16</f>
        <v>0.218</v>
      </c>
      <c r="D23" s="7">
        <f ca="1">IF(NOT($K22),D22,AVERAGE(OFFSET($M22,-1*MAX($L22,N22),0):OFFSET($M22,0,0)))</f>
        <v>0.45533333333333331</v>
      </c>
      <c r="E23" s="45">
        <f ca="1">IF(NOT($K22),E22,IFERROR(STDEV(OFFSET($M22,-1*MAX($L22,N22),0):OFFSET($M22,0,0)),E22))</f>
        <v>0.27434625323970918</v>
      </c>
      <c r="F23" s="7">
        <f t="shared" ca="1" si="0"/>
        <v>0.2396926213453911</v>
      </c>
      <c r="G23" s="6">
        <v>0.9</v>
      </c>
      <c r="H23" s="46">
        <f t="shared" ca="1" si="1"/>
        <v>-0.86508684019083015</v>
      </c>
      <c r="I23" s="46">
        <f t="shared" ca="1" si="4"/>
        <v>0</v>
      </c>
      <c r="J23" s="46">
        <f t="shared" ca="1" si="5"/>
        <v>0</v>
      </c>
      <c r="K23" s="5" t="b">
        <f t="array" aca="1" ref="K23" ca="1">IFERROR(OR(ABS(I23)&gt;=4, ABS(J23)&gt;=4),FALSE())</f>
        <v>0</v>
      </c>
      <c r="L23" s="5">
        <f t="shared" ca="1" si="6"/>
        <v>0</v>
      </c>
      <c r="M23" s="7">
        <f t="shared" si="2"/>
        <v>0.218</v>
      </c>
      <c r="N23" s="5">
        <f t="shared" si="7"/>
        <v>5</v>
      </c>
      <c r="O23" s="5" t="str">
        <f t="shared" si="3"/>
        <v>No</v>
      </c>
      <c r="P23" s="47"/>
    </row>
    <row r="24" spans="1:16" ht="15" customHeight="1" x14ac:dyDescent="0.35">
      <c r="A24" s="50">
        <f>'Raw-Data'!N15</f>
        <v>46210</v>
      </c>
      <c r="B24" s="51">
        <f>'Raw-Data'!O15</f>
        <v>41</v>
      </c>
      <c r="C24" s="52">
        <f>'Raw-Data'!Q15</f>
        <v>0.32200000000000001</v>
      </c>
      <c r="D24" s="52">
        <f ca="1">IF(NOT($K23),D23,AVERAGE(OFFSET($M23,-1*MAX($L23,N23),0):OFFSET($M23,0,0)))</f>
        <v>0.45533333333333331</v>
      </c>
      <c r="E24" s="53">
        <f ca="1">IF(NOT($K23),E23,IFERROR(STDEV(OFFSET($M23,-1*MAX($L23,N23),0):OFFSET($M23,0,0)),E23))</f>
        <v>0.27434625323970918</v>
      </c>
      <c r="F24" s="52">
        <f t="shared" ca="1" si="0"/>
        <v>0.22200931493622184</v>
      </c>
      <c r="G24" s="54">
        <v>0.9</v>
      </c>
      <c r="H24" s="55">
        <f t="shared" ca="1" si="1"/>
        <v>-0.48600384280383707</v>
      </c>
      <c r="I24" s="55">
        <f t="shared" ca="1" si="4"/>
        <v>0</v>
      </c>
      <c r="J24" s="55">
        <f t="shared" ca="1" si="5"/>
        <v>0.98600384280383713</v>
      </c>
      <c r="K24" s="51" t="b">
        <f t="array" aca="1" ref="K24" ca="1">IFERROR(OR(ABS(I24)&gt;=4, ABS(J24)&gt;=4),FALSE())</f>
        <v>0</v>
      </c>
      <c r="L24" s="51">
        <f t="shared" ca="1" si="6"/>
        <v>1</v>
      </c>
      <c r="M24" s="52">
        <f t="shared" si="2"/>
        <v>0.32200000000000001</v>
      </c>
      <c r="N24" s="51">
        <f t="shared" si="7"/>
        <v>5</v>
      </c>
      <c r="O24" s="51" t="str">
        <f t="shared" si="3"/>
        <v>No</v>
      </c>
      <c r="P24" s="47"/>
    </row>
    <row r="25" spans="1:16" ht="15" customHeight="1" x14ac:dyDescent="0.35">
      <c r="A25" s="44">
        <f>'Raw-Data'!N14</f>
        <v>46211</v>
      </c>
      <c r="B25" s="5">
        <f>'Raw-Data'!O14</f>
        <v>52</v>
      </c>
      <c r="C25" s="7">
        <f>'Raw-Data'!Q14</f>
        <v>0.73</v>
      </c>
      <c r="D25" s="7">
        <f ca="1">IF(NOT($K24),D24,AVERAGE(OFFSET($M24,-1*MAX($L24,N24),0):OFFSET($M24,0,0)))</f>
        <v>0.45533333333333331</v>
      </c>
      <c r="E25" s="45">
        <f ca="1">IF(NOT($K24),E24,IFERROR(STDEV(OFFSET($M24,-1*MAX($L24,N24),0):OFFSET($M24,0,0)),E24))</f>
        <v>0.27434625323970918</v>
      </c>
      <c r="F25" s="7">
        <f t="shared" ca="1" si="0"/>
        <v>0.24815243875827103</v>
      </c>
      <c r="G25" s="6">
        <v>0.9</v>
      </c>
      <c r="H25" s="46">
        <f t="shared" ca="1" si="1"/>
        <v>1.0011679161759046</v>
      </c>
      <c r="I25" s="46">
        <f t="shared" ca="1" si="4"/>
        <v>0.50116791617590462</v>
      </c>
      <c r="J25" s="46">
        <f t="shared" ca="1" si="5"/>
        <v>0.48483592662793251</v>
      </c>
      <c r="K25" s="5" t="b">
        <f t="array" aca="1" ref="K25" ca="1">IFERROR(OR(ABS(I25)&gt;=4, ABS(J25)&gt;=4),FALSE())</f>
        <v>0</v>
      </c>
      <c r="L25" s="5">
        <f t="shared" ca="1" si="6"/>
        <v>2</v>
      </c>
      <c r="M25" s="7">
        <f t="shared" si="2"/>
        <v>0.73</v>
      </c>
      <c r="N25" s="5">
        <f t="shared" si="7"/>
        <v>5</v>
      </c>
      <c r="O25" s="5" t="str">
        <f t="shared" si="3"/>
        <v>No</v>
      </c>
      <c r="P25" s="47"/>
    </row>
    <row r="26" spans="1:16" ht="15" customHeight="1" x14ac:dyDescent="0.35">
      <c r="A26" s="50">
        <f>'Raw-Data'!N13</f>
        <v>46212</v>
      </c>
      <c r="B26" s="51">
        <f>'Raw-Data'!O13</f>
        <v>38</v>
      </c>
      <c r="C26" s="52">
        <f>'Raw-Data'!Q13</f>
        <v>0.54700000000000004</v>
      </c>
      <c r="D26" s="52">
        <f ca="1">IF(NOT($K25),D25,AVERAGE(OFFSET($M25,-1*MAX($L25,N25),0):OFFSET($M25,0,0)))</f>
        <v>0.45533333333333331</v>
      </c>
      <c r="E26" s="53">
        <f ca="1">IF(NOT($K25),E25,IFERROR(STDEV(OFFSET($M25,-1*MAX($L25,N25),0):OFFSET($M25,0,0)),E25))</f>
        <v>0.27434625323970918</v>
      </c>
      <c r="F26" s="52">
        <f t="shared" ca="1" si="0"/>
        <v>0.21297409583659588</v>
      </c>
      <c r="G26" s="54">
        <v>0.9</v>
      </c>
      <c r="H26" s="55">
        <f t="shared" ca="1" si="1"/>
        <v>0.33412764192763833</v>
      </c>
      <c r="I26" s="55">
        <f t="shared" ca="1" si="4"/>
        <v>0.33529555810354295</v>
      </c>
      <c r="J26" s="55">
        <f t="shared" ca="1" si="5"/>
        <v>0.65070828470029418</v>
      </c>
      <c r="K26" s="51" t="b">
        <f t="array" aca="1" ref="K26" ca="1">IFERROR(OR(ABS(I26)&gt;=4, ABS(J26)&gt;=4),FALSE())</f>
        <v>0</v>
      </c>
      <c r="L26" s="51">
        <f t="shared" ca="1" si="6"/>
        <v>3</v>
      </c>
      <c r="M26" s="52">
        <f t="shared" si="2"/>
        <v>0.54700000000000004</v>
      </c>
      <c r="N26" s="51">
        <f t="shared" si="7"/>
        <v>5</v>
      </c>
      <c r="O26" s="51" t="str">
        <f t="shared" si="3"/>
        <v>No</v>
      </c>
      <c r="P26" s="47"/>
    </row>
    <row r="27" spans="1:16" ht="15" customHeight="1" x14ac:dyDescent="0.35">
      <c r="A27" s="44">
        <f>'Raw-Data'!N12</f>
        <v>46213</v>
      </c>
      <c r="B27" s="5">
        <f>'Raw-Data'!O12</f>
        <v>42</v>
      </c>
      <c r="C27" s="7">
        <f>'Raw-Data'!Q12</f>
        <v>0.72699999999999998</v>
      </c>
      <c r="D27" s="7">
        <f ca="1">IF(NOT($K26),D26,AVERAGE(OFFSET($M26,-1*MAX($L26,N26),0):OFFSET($M26,0,0)))</f>
        <v>0.45533333333333331</v>
      </c>
      <c r="E27" s="45">
        <f ca="1">IF(NOT($K26),E26,IFERROR(STDEV(OFFSET($M26,-1*MAX($L26,N26),0):OFFSET($M26,0,0)),E26))</f>
        <v>0.27434625323970918</v>
      </c>
      <c r="F27" s="7">
        <f t="shared" ca="1" si="0"/>
        <v>0.22480371536222582</v>
      </c>
      <c r="G27" s="6">
        <v>0.9</v>
      </c>
      <c r="H27" s="46">
        <f t="shared" ca="1" si="1"/>
        <v>0.99023282971281834</v>
      </c>
      <c r="I27" s="46">
        <f t="shared" ca="1" si="4"/>
        <v>0.82552838781636129</v>
      </c>
      <c r="J27" s="46">
        <f t="shared" ca="1" si="5"/>
        <v>0.16047545498747584</v>
      </c>
      <c r="K27" s="5" t="b">
        <f t="array" aca="1" ref="K27" ca="1">IFERROR(OR(ABS(I27)&gt;=4, ABS(J27)&gt;=4),FALSE())</f>
        <v>0</v>
      </c>
      <c r="L27" s="5">
        <f t="shared" ca="1" si="6"/>
        <v>4</v>
      </c>
      <c r="M27" s="7">
        <f t="shared" si="2"/>
        <v>0.72699999999999998</v>
      </c>
      <c r="N27" s="5">
        <f t="shared" si="7"/>
        <v>5</v>
      </c>
      <c r="O27" s="5" t="str">
        <f t="shared" si="3"/>
        <v>No</v>
      </c>
      <c r="P27" s="47"/>
    </row>
    <row r="28" spans="1:16" ht="15" customHeight="1" x14ac:dyDescent="0.35">
      <c r="A28" s="50">
        <f>'Raw-Data'!N11</f>
        <v>46214</v>
      </c>
      <c r="B28" s="51">
        <f>'Raw-Data'!O11</f>
        <v>48</v>
      </c>
      <c r="C28" s="52">
        <f>'Raw-Data'!Q11</f>
        <v>0.879</v>
      </c>
      <c r="D28" s="52">
        <f ca="1">IF(NOT($K27),D27,AVERAGE(OFFSET($M27,-1*MAX($L27,N27),0):OFFSET($M27,0,0)))</f>
        <v>0.45533333333333331</v>
      </c>
      <c r="E28" s="53">
        <f ca="1">IF(NOT($K27),E27,IFERROR(STDEV(OFFSET($M27,-1*MAX($L27,N27),0):OFFSET($M27,0,0)),E27))</f>
        <v>0.27434625323970918</v>
      </c>
      <c r="F28" s="52">
        <f t="shared" ca="1" si="0"/>
        <v>0.2396926213453911</v>
      </c>
      <c r="G28" s="54">
        <v>0.9</v>
      </c>
      <c r="H28" s="55">
        <f t="shared" ca="1" si="1"/>
        <v>1.5442772105091929</v>
      </c>
      <c r="I28" s="55">
        <f t="shared" ca="1" si="4"/>
        <v>1.8698055983255539</v>
      </c>
      <c r="J28" s="55">
        <f t="shared" ca="1" si="5"/>
        <v>0</v>
      </c>
      <c r="K28" s="51" t="b">
        <f t="array" aca="1" ref="K28" ca="1">IFERROR(OR(ABS(I28)&gt;=4, ABS(J28)&gt;=4),FALSE())</f>
        <v>0</v>
      </c>
      <c r="L28" s="51">
        <f t="shared" ca="1" si="6"/>
        <v>5</v>
      </c>
      <c r="M28" s="52">
        <f t="shared" si="2"/>
        <v>0.879</v>
      </c>
      <c r="N28" s="51">
        <f t="shared" si="7"/>
        <v>5</v>
      </c>
      <c r="O28" s="51" t="str">
        <f t="shared" si="3"/>
        <v>No</v>
      </c>
      <c r="P28" s="47"/>
    </row>
    <row r="29" spans="1:16" ht="15" customHeight="1" x14ac:dyDescent="0.35">
      <c r="A29" s="44">
        <f>'Raw-Data'!N10</f>
        <v>46215</v>
      </c>
      <c r="B29" s="5">
        <f>'Raw-Data'!O10</f>
        <v>45</v>
      </c>
      <c r="C29" s="7">
        <f>'Raw-Data'!Q10</f>
        <v>0.441</v>
      </c>
      <c r="D29" s="7">
        <f ca="1">IF(NOT($K28),D28,AVERAGE(OFFSET($M28,-1*MAX($L28,N28),0):OFFSET($M28,0,0)))</f>
        <v>0.45533333333333331</v>
      </c>
      <c r="E29" s="45">
        <f ca="1">IF(NOT($K28),E28,IFERROR(STDEV(OFFSET($M28,-1*MAX($L28,N28),0):OFFSET($M28,0,0)),E28))</f>
        <v>0.27434625323970918</v>
      </c>
      <c r="F29" s="7">
        <f t="shared" ca="1" si="0"/>
        <v>0.23262056365503719</v>
      </c>
      <c r="G29" s="6">
        <v>0.9</v>
      </c>
      <c r="H29" s="46">
        <f t="shared" ca="1" si="1"/>
        <v>-5.2245413101412411E-2</v>
      </c>
      <c r="I29" s="46">
        <f t="shared" ca="1" si="4"/>
        <v>1.3175601852241414</v>
      </c>
      <c r="J29" s="46">
        <f t="shared" ca="1" si="5"/>
        <v>0.5522454131014124</v>
      </c>
      <c r="K29" s="5" t="b">
        <f t="array" aca="1" ref="K29" ca="1">IFERROR(OR(ABS(I29)&gt;=4, ABS(J29)&gt;=4),FALSE())</f>
        <v>0</v>
      </c>
      <c r="L29" s="5">
        <f t="shared" ca="1" si="6"/>
        <v>6</v>
      </c>
      <c r="M29" s="7">
        <f t="shared" si="2"/>
        <v>0.441</v>
      </c>
      <c r="N29" s="5">
        <f t="shared" si="7"/>
        <v>5</v>
      </c>
      <c r="O29" s="5" t="str">
        <f t="shared" si="3"/>
        <v>No</v>
      </c>
      <c r="P29" s="47"/>
    </row>
    <row r="30" spans="1:16" ht="15" customHeight="1" x14ac:dyDescent="0.35">
      <c r="A30" s="50">
        <f>'Raw-Data'!N9</f>
        <v>46216</v>
      </c>
      <c r="B30" s="51">
        <f>'Raw-Data'!O9</f>
        <v>60</v>
      </c>
      <c r="C30" s="52">
        <f>'Raw-Data'!Q9</f>
        <v>0.70499999999999996</v>
      </c>
      <c r="D30" s="52">
        <f ca="1">IF(NOT($K29),D29,AVERAGE(OFFSET($M29,-1*MAX($L29,N29),0):OFFSET($M29,0,0)))</f>
        <v>0.45533333333333331</v>
      </c>
      <c r="E30" s="53">
        <f ca="1">IF(NOT($K29),E29,IFERROR(STDEV(OFFSET($M29,-1*MAX($L29,N29),0):OFFSET($M29,0,0)),E29))</f>
        <v>0.27434625323970918</v>
      </c>
      <c r="F30" s="52">
        <f t="shared" ca="1" si="0"/>
        <v>0.26245841704473627</v>
      </c>
      <c r="G30" s="54">
        <v>0.9</v>
      </c>
      <c r="H30" s="55">
        <f t="shared" ca="1" si="1"/>
        <v>0.91004219565018507</v>
      </c>
      <c r="I30" s="55">
        <f t="shared" ca="1" si="4"/>
        <v>1.7276023808743264</v>
      </c>
      <c r="J30" s="55">
        <f t="shared" ca="1" si="5"/>
        <v>0.14220321745122733</v>
      </c>
      <c r="K30" s="51" t="b">
        <f t="array" aca="1" ref="K30" ca="1">IFERROR(OR(ABS(I30)&gt;=4, ABS(J30)&gt;=4),FALSE())</f>
        <v>0</v>
      </c>
      <c r="L30" s="51">
        <f t="shared" ca="1" si="6"/>
        <v>7</v>
      </c>
      <c r="M30" s="52">
        <f t="shared" si="2"/>
        <v>0.70499999999999996</v>
      </c>
      <c r="N30" s="51">
        <f t="shared" si="7"/>
        <v>5</v>
      </c>
      <c r="O30" s="51" t="str">
        <f t="shared" si="3"/>
        <v>No</v>
      </c>
      <c r="P30" s="47"/>
    </row>
    <row r="31" spans="1:16" ht="15" customHeight="1" x14ac:dyDescent="0.35">
      <c r="A31" s="44">
        <f>'Raw-Data'!N8</f>
        <v>46217</v>
      </c>
      <c r="B31" s="5">
        <f>'Raw-Data'!O8</f>
        <v>54</v>
      </c>
      <c r="C31" s="7">
        <f>'Raw-Data'!Q8</f>
        <v>0.438</v>
      </c>
      <c r="D31" s="7">
        <f ca="1">IF(NOT($K30),D30,AVERAGE(OFFSET($M30,-1*MAX($L30,N30),0):OFFSET($M30,0,0)))</f>
        <v>0.45533333333333331</v>
      </c>
      <c r="E31" s="45">
        <f ca="1">IF(NOT($K30),E30,IFERROR(STDEV(OFFSET($M30,-1*MAX($L30,N30),0):OFFSET($M30,0,0)),E30))</f>
        <v>0.27434625323970918</v>
      </c>
      <c r="F31" s="7">
        <f t="shared" ca="1" si="0"/>
        <v>0.25202532033790775</v>
      </c>
      <c r="G31" s="6">
        <v>0.9</v>
      </c>
      <c r="H31" s="46">
        <f t="shared" ca="1" si="1"/>
        <v>-6.3180499564498754E-2</v>
      </c>
      <c r="I31" s="46">
        <f t="shared" ca="1" si="4"/>
        <v>1.1644218813098277</v>
      </c>
      <c r="J31" s="46">
        <f t="shared" ca="1" si="5"/>
        <v>0.70538371701572611</v>
      </c>
      <c r="K31" s="5" t="b">
        <f t="array" aca="1" ref="K31" ca="1">IFERROR(OR(ABS(I31)&gt;=4, ABS(J31)&gt;=4),FALSE())</f>
        <v>0</v>
      </c>
      <c r="L31" s="5">
        <f t="shared" ca="1" si="6"/>
        <v>8</v>
      </c>
      <c r="M31" s="7">
        <f t="shared" si="2"/>
        <v>0.438</v>
      </c>
      <c r="N31" s="5">
        <f t="shared" si="7"/>
        <v>5</v>
      </c>
      <c r="O31" s="5" t="str">
        <f t="shared" si="3"/>
        <v>No</v>
      </c>
      <c r="P31" s="47"/>
    </row>
    <row r="32" spans="1:16" ht="15" customHeight="1" x14ac:dyDescent="0.35">
      <c r="A32" s="50">
        <f>'Raw-Data'!N7</f>
        <v>46218</v>
      </c>
      <c r="B32" s="51">
        <f>'Raw-Data'!O7</f>
        <v>66</v>
      </c>
      <c r="C32" s="52">
        <f>'Raw-Data'!Q7</f>
        <v>0.72219999999999995</v>
      </c>
      <c r="D32" s="52">
        <f ca="1">IF(NOT($K31),D31,AVERAGE(OFFSET($M31,-1*MAX($L31,N31),0):OFFSET($M31,0,0)))</f>
        <v>0.45533333333333331</v>
      </c>
      <c r="E32" s="53">
        <f ca="1">IF(NOT($K31),E31,IFERROR(STDEV(OFFSET($M31,-1*MAX($L31,N31),0):OFFSET($M31,0,0)),E31))</f>
        <v>0.27434625323970918</v>
      </c>
      <c r="F32" s="52">
        <f t="shared" ca="1" si="0"/>
        <v>0.27143431624828068</v>
      </c>
      <c r="G32" s="54">
        <v>0.9</v>
      </c>
      <c r="H32" s="55">
        <f t="shared" ca="1" si="1"/>
        <v>0.97273669137188001</v>
      </c>
      <c r="I32" s="55">
        <f t="shared" ca="1" si="4"/>
        <v>1.6371585726817077</v>
      </c>
      <c r="J32" s="55">
        <f t="shared" ca="1" si="5"/>
        <v>0.23264702564384609</v>
      </c>
      <c r="K32" s="51" t="b">
        <f t="array" aca="1" ref="K32" ca="1">IFERROR(OR(ABS(I32)&gt;=4, ABS(J32)&gt;=4),FALSE())</f>
        <v>0</v>
      </c>
      <c r="L32" s="51">
        <f t="shared" ca="1" si="6"/>
        <v>9</v>
      </c>
      <c r="M32" s="52">
        <f t="shared" si="2"/>
        <v>0.72219999999999995</v>
      </c>
      <c r="N32" s="51">
        <f t="shared" si="7"/>
        <v>5</v>
      </c>
      <c r="O32" s="51" t="str">
        <f t="shared" si="3"/>
        <v>No</v>
      </c>
      <c r="P32" s="47"/>
    </row>
    <row r="33" spans="1:16" ht="15" customHeight="1" x14ac:dyDescent="0.35">
      <c r="A33" s="44">
        <f>'Raw-Data'!N6</f>
        <v>46219</v>
      </c>
      <c r="B33" s="5">
        <f>'Raw-Data'!O6</f>
        <v>54</v>
      </c>
      <c r="C33" s="7">
        <f>'Raw-Data'!Q6</f>
        <v>0.62190000000000001</v>
      </c>
      <c r="D33" s="7">
        <f ca="1">IF(NOT($K32),D32,AVERAGE(OFFSET($M32,-1*MAX($L32,N32),0):OFFSET($M32,0,0)))</f>
        <v>0.45533333333333331</v>
      </c>
      <c r="E33" s="45">
        <f ca="1">IF(NOT($K32),E32,IFERROR(STDEV(OFFSET($M32,-1*MAX($L32,N32),0):OFFSET($M32,0,0)),E32))</f>
        <v>0.27434625323970918</v>
      </c>
      <c r="F33" s="7">
        <f t="shared" ca="1" si="0"/>
        <v>0.25202532033790775</v>
      </c>
      <c r="G33" s="6">
        <v>0.9</v>
      </c>
      <c r="H33" s="46">
        <f t="shared" ca="1" si="1"/>
        <v>0.60714030062269375</v>
      </c>
      <c r="I33" s="46">
        <f t="shared" ca="1" si="4"/>
        <v>1.7442988733044014</v>
      </c>
      <c r="J33" s="46">
        <f t="shared" ca="1" si="5"/>
        <v>0.12550672502115234</v>
      </c>
      <c r="K33" s="5" t="b">
        <f t="array" aca="1" ref="K33" ca="1">IFERROR(OR(ABS(I33)&gt;=4, ABS(J33)&gt;=4),FALSE())</f>
        <v>0</v>
      </c>
      <c r="L33" s="5">
        <f t="shared" ca="1" si="6"/>
        <v>10</v>
      </c>
      <c r="M33" s="7">
        <f t="shared" si="2"/>
        <v>0.62190000000000001</v>
      </c>
      <c r="N33" s="5">
        <f t="shared" si="7"/>
        <v>5</v>
      </c>
      <c r="O33" s="5" t="str">
        <f t="shared" si="3"/>
        <v>No</v>
      </c>
      <c r="P33" s="47"/>
    </row>
    <row r="36" spans="1:16" ht="15.5" x14ac:dyDescent="0.35">
      <c r="A36" s="66" t="s">
        <v>53</v>
      </c>
      <c r="B36" s="66"/>
      <c r="C36" s="66"/>
      <c r="D36" s="66"/>
      <c r="E36" s="66"/>
      <c r="F36" s="66"/>
      <c r="G36" s="66"/>
      <c r="H36" s="66"/>
      <c r="I36" s="66"/>
      <c r="J36" s="66"/>
      <c r="K36" s="66"/>
      <c r="L36" s="66"/>
      <c r="M36" s="66"/>
      <c r="N36" s="66"/>
      <c r="O36" s="66"/>
    </row>
    <row r="38" spans="1:16" x14ac:dyDescent="0.35">
      <c r="A38" s="67" t="s">
        <v>54</v>
      </c>
      <c r="B38" s="67"/>
      <c r="C38" s="67"/>
      <c r="D38" s="67"/>
      <c r="E38" s="67"/>
      <c r="F38" s="67"/>
      <c r="G38" s="67"/>
      <c r="H38" s="67"/>
      <c r="I38" s="67"/>
      <c r="J38" s="67"/>
      <c r="K38" s="67"/>
      <c r="L38" s="67"/>
      <c r="M38" s="67"/>
      <c r="N38" s="67"/>
      <c r="O38" s="67"/>
    </row>
    <row r="39" spans="1:16" ht="15" customHeight="1" x14ac:dyDescent="0.35">
      <c r="A39" s="65" t="s">
        <v>65</v>
      </c>
      <c r="B39" s="65"/>
      <c r="C39" s="65"/>
      <c r="D39" s="65"/>
      <c r="E39" s="65"/>
      <c r="F39" s="65"/>
      <c r="G39" s="65"/>
      <c r="H39" s="65"/>
      <c r="I39" s="65"/>
      <c r="J39" s="65"/>
      <c r="K39" s="65"/>
      <c r="L39" s="65"/>
      <c r="M39" s="65"/>
      <c r="N39" s="65"/>
      <c r="O39" s="65"/>
    </row>
    <row r="42" spans="1:16" x14ac:dyDescent="0.35">
      <c r="A42" s="67" t="s">
        <v>56</v>
      </c>
      <c r="B42" s="67"/>
      <c r="C42" s="67"/>
      <c r="D42" s="67"/>
      <c r="E42" s="67"/>
      <c r="F42" s="67"/>
      <c r="G42" s="67"/>
      <c r="H42" s="67"/>
      <c r="I42" s="67"/>
      <c r="J42" s="67"/>
      <c r="K42" s="67"/>
      <c r="L42" s="67"/>
      <c r="M42" s="67"/>
      <c r="N42" s="67"/>
      <c r="O42" s="67"/>
    </row>
    <row r="43" spans="1:16" ht="15" customHeight="1" x14ac:dyDescent="0.35">
      <c r="A43" s="65" t="s">
        <v>66</v>
      </c>
      <c r="B43" s="65"/>
      <c r="C43" s="65"/>
      <c r="D43" s="65"/>
      <c r="E43" s="65"/>
      <c r="F43" s="65"/>
      <c r="G43" s="65"/>
      <c r="H43" s="65"/>
      <c r="I43" s="65"/>
      <c r="J43" s="65"/>
      <c r="K43" s="65"/>
      <c r="L43" s="65"/>
      <c r="M43" s="65"/>
      <c r="N43" s="65"/>
      <c r="O43" s="65"/>
    </row>
    <row r="44" spans="1:16" x14ac:dyDescent="0.35">
      <c r="A44" s="65"/>
      <c r="B44" s="65"/>
      <c r="C44" s="65"/>
      <c r="D44" s="65"/>
      <c r="E44" s="65"/>
      <c r="F44" s="65"/>
      <c r="G44" s="65"/>
      <c r="H44" s="65"/>
      <c r="I44" s="65"/>
      <c r="J44" s="65"/>
      <c r="K44" s="65"/>
      <c r="L44" s="65"/>
      <c r="M44" s="65"/>
      <c r="N44" s="65"/>
      <c r="O44" s="65"/>
    </row>
    <row r="45" spans="1:16" x14ac:dyDescent="0.35">
      <c r="A45" s="65"/>
      <c r="B45" s="65"/>
      <c r="C45" s="65"/>
      <c r="D45" s="65"/>
      <c r="E45" s="65"/>
      <c r="F45" s="65"/>
      <c r="G45" s="65"/>
      <c r="H45" s="65"/>
      <c r="I45" s="65"/>
      <c r="J45" s="65"/>
      <c r="K45" s="65"/>
      <c r="L45" s="65"/>
      <c r="M45" s="65"/>
      <c r="N45" s="65"/>
      <c r="O45" s="65"/>
    </row>
  </sheetData>
  <mergeCells count="8">
    <mergeCell ref="A43:O45"/>
    <mergeCell ref="A1:O1"/>
    <mergeCell ref="A2:O2"/>
    <mergeCell ref="R4:S4"/>
    <mergeCell ref="A36:O36"/>
    <mergeCell ref="A38:O38"/>
    <mergeCell ref="A39:O39"/>
    <mergeCell ref="A42:O42"/>
  </mergeCells>
  <conditionalFormatting sqref="K5:K33">
    <cfRule type="cellIs" dxfId="11" priority="2" operator="equal">
      <formula>1</formula>
    </cfRule>
  </conditionalFormatting>
  <conditionalFormatting sqref="O5:O33">
    <cfRule type="cellIs" dxfId="10" priority="3" operator="equal">
      <formula>"No"</formula>
    </cfRule>
    <cfRule type="cellIs" dxfId="9" priority="4" operator="equal">
      <formula>"Yes"</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2"/>
  <sheetViews>
    <sheetView zoomScaleNormal="100" workbookViewId="0"/>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67</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10</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'Raw-Data'!A39</f>
        <v>46186</v>
      </c>
      <c r="B5" s="5">
        <f>'Raw-Data'!B39</f>
        <v>125</v>
      </c>
      <c r="C5" s="7">
        <f>'Raw-Data'!C39</f>
        <v>0.939393939393939</v>
      </c>
      <c r="D5" s="7">
        <v>0.9</v>
      </c>
      <c r="E5" s="45">
        <v>0.05</v>
      </c>
      <c r="F5" s="7">
        <f t="shared" ref="F5:F38" si="0">MAX(0,D5-3*SQRT(D5*(1-D5)/B5))</f>
        <v>0.81950155281000758</v>
      </c>
      <c r="G5" s="6">
        <v>0.95</v>
      </c>
      <c r="H5" s="46">
        <f t="shared" ref="H5:H38" si="1">(C5-D5)/E5</f>
        <v>0.78787878787877963</v>
      </c>
      <c r="I5" s="46">
        <v>0</v>
      </c>
      <c r="J5" s="46">
        <v>0</v>
      </c>
      <c r="K5" s="5" t="b">
        <f t="array" ref="K5">IFERROR(OR(ABS(I5)&gt;=4, ABS(J5)&gt;=4),FALSE())</f>
        <v>0</v>
      </c>
      <c r="L5" s="5">
        <v>0</v>
      </c>
      <c r="M5" s="7">
        <f t="shared" ref="M5:M38" si="2">IF(P5="y","",C5)</f>
        <v>0.939393939393939</v>
      </c>
      <c r="N5" s="5">
        <v>1</v>
      </c>
      <c r="O5" s="5" t="str">
        <f t="shared" ref="O5:O38" si="3">IF(C5&gt;=G5,"Yes","No")</f>
        <v>No</v>
      </c>
      <c r="P5" s="47"/>
      <c r="R5" s="48" t="s">
        <v>4</v>
      </c>
      <c r="S5" s="49">
        <v>0.95</v>
      </c>
    </row>
    <row r="6" spans="1:19" ht="15" customHeight="1" x14ac:dyDescent="0.35">
      <c r="A6" s="50">
        <f>'Raw-Data'!A38</f>
        <v>46187</v>
      </c>
      <c r="B6" s="51">
        <f>'Raw-Data'!B38</f>
        <v>112</v>
      </c>
      <c r="C6" s="52">
        <f>'Raw-Data'!C38</f>
        <v>0.9375</v>
      </c>
      <c r="D6" s="52">
        <f ca="1">IF(NOT($K5),D5,AVERAGE(OFFSET($M5,-1*MAX($L5,N5),0):OFFSET($M5,0,0)))</f>
        <v>0.9</v>
      </c>
      <c r="E6" s="53">
        <f ca="1">IF(NOT($K5),E5,IFERROR(STDEV(OFFSET($M5,-1*MAX($L5,N5),0):OFFSET($M5,0,0)),E5))</f>
        <v>0.05</v>
      </c>
      <c r="F6" s="52">
        <f t="shared" ca="1" si="0"/>
        <v>0.81495799357292387</v>
      </c>
      <c r="G6" s="54">
        <v>0.95</v>
      </c>
      <c r="H6" s="55">
        <f t="shared" ca="1" si="1"/>
        <v>0.74999999999999956</v>
      </c>
      <c r="I6" s="55">
        <f t="shared" ref="I6:I38" ca="1" si="4">IF(P6="y",I5,IF(K5,0,MAX(0,I5+H6-0.5)))</f>
        <v>0.24999999999999956</v>
      </c>
      <c r="J6" s="55">
        <f t="shared" ref="J6:J38" ca="1" si="5">IF(P6="y",J5,IF(K5,0,MAX(0,J5-H6+0.5)))</f>
        <v>0</v>
      </c>
      <c r="K6" s="51" t="b">
        <f t="array" aca="1" ref="K6" ca="1">IFERROR(OR(ABS(I6)&gt;=4, ABS(J6)&gt;=4),FALSE())</f>
        <v>0</v>
      </c>
      <c r="L6" s="51">
        <f t="shared" ref="L6:L38" si="6">IF(K5,0,L5+1)</f>
        <v>1</v>
      </c>
      <c r="M6" s="52">
        <f t="shared" si="2"/>
        <v>0.9375</v>
      </c>
      <c r="N6" s="51">
        <f t="shared" ref="N6:N38" si="7">MIN(5,N5+1)</f>
        <v>2</v>
      </c>
      <c r="O6" s="51" t="str">
        <f t="shared" si="3"/>
        <v>No</v>
      </c>
      <c r="P6" s="47"/>
      <c r="R6" s="48" t="s">
        <v>46</v>
      </c>
      <c r="S6" s="56">
        <v>34</v>
      </c>
    </row>
    <row r="7" spans="1:19" ht="15" customHeight="1" x14ac:dyDescent="0.35">
      <c r="A7" s="44">
        <f>'Raw-Data'!A37</f>
        <v>46188</v>
      </c>
      <c r="B7" s="5">
        <f>'Raw-Data'!B37</f>
        <v>101</v>
      </c>
      <c r="C7" s="7">
        <f>'Raw-Data'!C37</f>
        <v>0.90804597701149403</v>
      </c>
      <c r="D7" s="7">
        <f ca="1">IF(NOT($K6),D6,AVERAGE(OFFSET($M6,-1*MAX($L6,N6),0):OFFSET($M6,0,0)))</f>
        <v>0.9</v>
      </c>
      <c r="E7" s="45">
        <f ca="1">IF(NOT($K6),E6,IFERROR(STDEV(OFFSET($M6,-1*MAX($L6,N6),0):OFFSET($M6,0,0)),E6))</f>
        <v>0.05</v>
      </c>
      <c r="F7" s="7">
        <f t="shared" ca="1" si="0"/>
        <v>0.81044665288110096</v>
      </c>
      <c r="G7" s="6">
        <v>0.95</v>
      </c>
      <c r="H7" s="46">
        <f t="shared" ca="1" si="1"/>
        <v>0.1609195402298802</v>
      </c>
      <c r="I7" s="46">
        <f t="shared" ca="1" si="4"/>
        <v>0</v>
      </c>
      <c r="J7" s="46">
        <f t="shared" ca="1" si="5"/>
        <v>0.3390804597701198</v>
      </c>
      <c r="K7" s="5" t="b">
        <f t="array" aca="1" ref="K7" ca="1">IFERROR(OR(ABS(I7)&gt;=4, ABS(J7)&gt;=4),FALSE())</f>
        <v>0</v>
      </c>
      <c r="L7" s="5">
        <f t="shared" ca="1" si="6"/>
        <v>2</v>
      </c>
      <c r="M7" s="7">
        <f t="shared" si="2"/>
        <v>0.90804597701149403</v>
      </c>
      <c r="N7" s="5">
        <f t="shared" si="7"/>
        <v>3</v>
      </c>
      <c r="O7" s="5" t="str">
        <f t="shared" si="3"/>
        <v>No</v>
      </c>
      <c r="P7" s="47"/>
      <c r="R7" s="48" t="s">
        <v>47</v>
      </c>
      <c r="S7" s="56">
        <f ca="1">COUNTIF(K5:K38,TRUE())</f>
        <v>3</v>
      </c>
    </row>
    <row r="8" spans="1:19" ht="15" customHeight="1" x14ac:dyDescent="0.35">
      <c r="A8" s="50">
        <f>'Raw-Data'!A36</f>
        <v>46189</v>
      </c>
      <c r="B8" s="51">
        <f>'Raw-Data'!B36</f>
        <v>114</v>
      </c>
      <c r="C8" s="52">
        <f>'Raw-Data'!C36</f>
        <v>0.93548387096774099</v>
      </c>
      <c r="D8" s="52">
        <f ca="1">IF(NOT($K7),D7,AVERAGE(OFFSET($M7,-1*MAX($L7,N7),0):OFFSET($M7,0,0)))</f>
        <v>0.9</v>
      </c>
      <c r="E8" s="53">
        <f ca="1">IF(NOT($K7),E7,IFERROR(STDEV(OFFSET($M7,-1*MAX($L7,N7),0):OFFSET($M7,0,0)),E7))</f>
        <v>0.05</v>
      </c>
      <c r="F8" s="52">
        <f t="shared" ca="1" si="0"/>
        <v>0.81570727695764755</v>
      </c>
      <c r="G8" s="54">
        <v>0.95</v>
      </c>
      <c r="H8" s="55">
        <f t="shared" ca="1" si="1"/>
        <v>0.70967741935481943</v>
      </c>
      <c r="I8" s="55">
        <f t="shared" ca="1" si="4"/>
        <v>0.20967741935481943</v>
      </c>
      <c r="J8" s="55">
        <f t="shared" ca="1" si="5"/>
        <v>0.12940304041530037</v>
      </c>
      <c r="K8" s="51" t="b">
        <f t="array" aca="1" ref="K8" ca="1">IFERROR(OR(ABS(I8)&gt;=4, ABS(J8)&gt;=4),FALSE())</f>
        <v>0</v>
      </c>
      <c r="L8" s="51">
        <f t="shared" ca="1" si="6"/>
        <v>3</v>
      </c>
      <c r="M8" s="52">
        <f t="shared" si="2"/>
        <v>0.93548387096774099</v>
      </c>
      <c r="N8" s="51">
        <f t="shared" si="7"/>
        <v>4</v>
      </c>
      <c r="O8" s="51" t="str">
        <f t="shared" si="3"/>
        <v>No</v>
      </c>
      <c r="P8" s="47"/>
      <c r="R8" s="48" t="s">
        <v>48</v>
      </c>
      <c r="S8" s="57" t="str">
        <f>COUNTIF(O5:O38,"Yes")&amp;"/"&amp;34</f>
        <v>3/34</v>
      </c>
    </row>
    <row r="9" spans="1:19" ht="15" customHeight="1" x14ac:dyDescent="0.35">
      <c r="A9" s="44">
        <f>'Raw-Data'!A35</f>
        <v>46190</v>
      </c>
      <c r="B9" s="5">
        <f>'Raw-Data'!B35</f>
        <v>104</v>
      </c>
      <c r="C9" s="7">
        <f>'Raw-Data'!C35</f>
        <v>0.87951807228915591</v>
      </c>
      <c r="D9" s="7">
        <f ca="1">IF(NOT($K8),D8,AVERAGE(OFFSET($M8,-1*MAX($L8,N8),0):OFFSET($M8,0,0)))</f>
        <v>0.9</v>
      </c>
      <c r="E9" s="45">
        <f ca="1">IF(NOT($K8),E8,IFERROR(STDEV(OFFSET($M8,-1*MAX($L8,N8),0):OFFSET($M8,0,0)),E8))</f>
        <v>0.05</v>
      </c>
      <c r="F9" s="7">
        <f t="shared" ca="1" si="0"/>
        <v>0.81174773918781717</v>
      </c>
      <c r="G9" s="6">
        <v>0.95</v>
      </c>
      <c r="H9" s="46">
        <f t="shared" ca="1" si="1"/>
        <v>-0.40963855421688233</v>
      </c>
      <c r="I9" s="46">
        <f t="shared" ca="1" si="4"/>
        <v>0</v>
      </c>
      <c r="J9" s="46">
        <f t="shared" ca="1" si="5"/>
        <v>1.0390415946321827</v>
      </c>
      <c r="K9" s="5" t="b">
        <f t="array" aca="1" ref="K9" ca="1">IFERROR(OR(ABS(I9)&gt;=4, ABS(J9)&gt;=4),FALSE())</f>
        <v>0</v>
      </c>
      <c r="L9" s="5">
        <f t="shared" ca="1" si="6"/>
        <v>4</v>
      </c>
      <c r="M9" s="7">
        <f t="shared" si="2"/>
        <v>0.87951807228915591</v>
      </c>
      <c r="N9" s="5">
        <f t="shared" si="7"/>
        <v>5</v>
      </c>
      <c r="O9" s="5" t="str">
        <f t="shared" si="3"/>
        <v>No</v>
      </c>
      <c r="P9" s="47"/>
      <c r="R9" s="48" t="s">
        <v>49</v>
      </c>
      <c r="S9" s="58">
        <f>AVERAGE(C5:C38)</f>
        <v>0.88543673609819495</v>
      </c>
    </row>
    <row r="10" spans="1:19" ht="15" customHeight="1" x14ac:dyDescent="0.35">
      <c r="A10" s="50">
        <f>'Raw-Data'!A34</f>
        <v>46191</v>
      </c>
      <c r="B10" s="51">
        <f>'Raw-Data'!B34</f>
        <v>139</v>
      </c>
      <c r="C10" s="52">
        <f>'Raw-Data'!C34</f>
        <v>0.92826914938637306</v>
      </c>
      <c r="D10" s="52">
        <f ca="1">IF(NOT($K9),D9,AVERAGE(OFFSET($M9,-1*MAX($L9,N9),0):OFFSET($M9,0,0)))</f>
        <v>0.9</v>
      </c>
      <c r="E10" s="53">
        <f ca="1">IF(NOT($K9),E9,IFERROR(STDEV(OFFSET($M9,-1*MAX($L9,N9),0):OFFSET($M9,0,0)),E9))</f>
        <v>0.05</v>
      </c>
      <c r="F10" s="52">
        <f t="shared" ca="1" si="0"/>
        <v>0.82366299632880269</v>
      </c>
      <c r="G10" s="54">
        <v>0.95</v>
      </c>
      <c r="H10" s="55">
        <f t="shared" ca="1" si="1"/>
        <v>0.56538298772746076</v>
      </c>
      <c r="I10" s="55">
        <f t="shared" ca="1" si="4"/>
        <v>6.5382987727460762E-2</v>
      </c>
      <c r="J10" s="55">
        <f t="shared" ca="1" si="5"/>
        <v>0.97365860690472195</v>
      </c>
      <c r="K10" s="51" t="b">
        <f t="array" aca="1" ref="K10" ca="1">IFERROR(OR(ABS(I10)&gt;=4, ABS(J10)&gt;=4),FALSE())</f>
        <v>0</v>
      </c>
      <c r="L10" s="51">
        <f t="shared" ca="1" si="6"/>
        <v>5</v>
      </c>
      <c r="M10" s="52">
        <f t="shared" si="2"/>
        <v>0.92826914938637306</v>
      </c>
      <c r="N10" s="51">
        <f t="shared" si="7"/>
        <v>5</v>
      </c>
      <c r="O10" s="51" t="str">
        <f t="shared" si="3"/>
        <v>No</v>
      </c>
      <c r="P10" s="47"/>
      <c r="R10" s="48" t="s">
        <v>50</v>
      </c>
      <c r="S10" s="58">
        <f>AVERAGE(C5:C38)-G5</f>
        <v>-6.4563263901805001E-2</v>
      </c>
    </row>
    <row r="11" spans="1:19" ht="15" customHeight="1" x14ac:dyDescent="0.35">
      <c r="A11" s="44">
        <f>'Raw-Data'!A33</f>
        <v>46192</v>
      </c>
      <c r="B11" s="5">
        <f>'Raw-Data'!B33</f>
        <v>144</v>
      </c>
      <c r="C11" s="7">
        <f>'Raw-Data'!C33</f>
        <v>0.89685331350568076</v>
      </c>
      <c r="D11" s="7">
        <f ca="1">IF(NOT($K10),D10,AVERAGE(OFFSET($M10,-1*MAX($L10,N10),0):OFFSET($M10,0,0)))</f>
        <v>0.9</v>
      </c>
      <c r="E11" s="45">
        <f ca="1">IF(NOT($K10),E10,IFERROR(STDEV(OFFSET($M10,-1*MAX($L10,N10),0):OFFSET($M10,0,0)),E10))</f>
        <v>0.05</v>
      </c>
      <c r="F11" s="7">
        <f t="shared" ca="1" si="0"/>
        <v>0.82500000000000007</v>
      </c>
      <c r="G11" s="6">
        <v>0.95</v>
      </c>
      <c r="H11" s="46">
        <f t="shared" ca="1" si="1"/>
        <v>-6.2933729886385237E-2</v>
      </c>
      <c r="I11" s="46">
        <f t="shared" ca="1" si="4"/>
        <v>0</v>
      </c>
      <c r="J11" s="46">
        <f t="shared" ca="1" si="5"/>
        <v>1.5365923367911072</v>
      </c>
      <c r="K11" s="5" t="b">
        <f t="array" aca="1" ref="K11" ca="1">IFERROR(OR(ABS(I11)&gt;=4, ABS(J11)&gt;=4),FALSE())</f>
        <v>0</v>
      </c>
      <c r="L11" s="5">
        <f t="shared" ca="1" si="6"/>
        <v>6</v>
      </c>
      <c r="M11" s="7">
        <f t="shared" si="2"/>
        <v>0.89685331350568076</v>
      </c>
      <c r="N11" s="5">
        <f t="shared" si="7"/>
        <v>5</v>
      </c>
      <c r="O11" s="5" t="str">
        <f t="shared" si="3"/>
        <v>No</v>
      </c>
      <c r="P11" s="47"/>
      <c r="R11" s="48" t="s">
        <v>51</v>
      </c>
      <c r="S11" s="58">
        <f ca="1">D38</f>
        <v>0.89810153291512351</v>
      </c>
    </row>
    <row r="12" spans="1:19" ht="15" customHeight="1" x14ac:dyDescent="0.35">
      <c r="A12" s="50">
        <f>'Raw-Data'!A32</f>
        <v>46193</v>
      </c>
      <c r="B12" s="51">
        <f>'Raw-Data'!B32</f>
        <v>184</v>
      </c>
      <c r="C12" s="52">
        <f>'Raw-Data'!C32</f>
        <v>0.64012551140697516</v>
      </c>
      <c r="D12" s="52">
        <f ca="1">IF(NOT($K11),D11,AVERAGE(OFFSET($M11,-1*MAX($L11,N11),0):OFFSET($M11,0,0)))</f>
        <v>0.9</v>
      </c>
      <c r="E12" s="53">
        <f ca="1">IF(NOT($K11),E11,IFERROR(STDEV(OFFSET($M11,-1*MAX($L11,N11),0):OFFSET($M11,0,0)),E11))</f>
        <v>0.05</v>
      </c>
      <c r="F12" s="52">
        <f t="shared" ca="1" si="0"/>
        <v>0.83365111973029626</v>
      </c>
      <c r="G12" s="54">
        <v>0.95</v>
      </c>
      <c r="H12" s="55">
        <f t="shared" ca="1" si="1"/>
        <v>-5.1974897718604973</v>
      </c>
      <c r="I12" s="55">
        <f t="shared" ca="1" si="4"/>
        <v>0</v>
      </c>
      <c r="J12" s="55">
        <f t="shared" ca="1" si="5"/>
        <v>7.2340821086516041</v>
      </c>
      <c r="K12" s="51" t="b">
        <f t="array" aca="1" ref="K12" ca="1">IFERROR(OR(ABS(I12)&gt;=4, ABS(J12)&gt;=4),FALSE())</f>
        <v>1</v>
      </c>
      <c r="L12" s="51">
        <f t="shared" ca="1" si="6"/>
        <v>7</v>
      </c>
      <c r="M12" s="52">
        <f t="shared" si="2"/>
        <v>0.64012551140697516</v>
      </c>
      <c r="N12" s="51">
        <f t="shared" si="7"/>
        <v>5</v>
      </c>
      <c r="O12" s="51" t="str">
        <f t="shared" si="3"/>
        <v>No</v>
      </c>
      <c r="P12" s="47"/>
      <c r="R12" s="48" t="s">
        <v>52</v>
      </c>
      <c r="S12" s="58">
        <f ca="1">F38</f>
        <v>0.83226135459568806</v>
      </c>
    </row>
    <row r="13" spans="1:19" ht="15" customHeight="1" x14ac:dyDescent="0.35">
      <c r="A13" s="44">
        <f>'Raw-Data'!A31</f>
        <v>46194</v>
      </c>
      <c r="B13" s="5">
        <f>'Raw-Data'!B31</f>
        <v>168</v>
      </c>
      <c r="C13" s="7">
        <f>'Raw-Data'!C31</f>
        <v>0.87179681194511682</v>
      </c>
      <c r="D13" s="7">
        <f ca="1">IF(NOT($K12),D12,AVERAGE(OFFSET($M12,-1*MAX($L12,N12),0):OFFSET($M12,0,0)))</f>
        <v>0.88314872924516985</v>
      </c>
      <c r="E13" s="45">
        <f ca="1">IF(NOT($K12),E12,IFERROR(STDEV(OFFSET($M12,-1*MAX($L12,N12),0):OFFSET($M12,0,0)),E12))</f>
        <v>0.10055102352582569</v>
      </c>
      <c r="F13" s="7">
        <f t="shared" ca="1" si="0"/>
        <v>0.80879542762842027</v>
      </c>
      <c r="G13" s="6">
        <v>0.95</v>
      </c>
      <c r="H13" s="46">
        <f t="shared" ca="1" si="1"/>
        <v>-0.1128970835104168</v>
      </c>
      <c r="I13" s="46">
        <f t="shared" ca="1" si="4"/>
        <v>0</v>
      </c>
      <c r="J13" s="46">
        <f t="shared" ca="1" si="5"/>
        <v>0</v>
      </c>
      <c r="K13" s="5" t="b">
        <f t="array" aca="1" ref="K13" ca="1">IFERROR(OR(ABS(I13)&gt;=4, ABS(J13)&gt;=4),FALSE())</f>
        <v>0</v>
      </c>
      <c r="L13" s="5">
        <f t="shared" ca="1" si="6"/>
        <v>0</v>
      </c>
      <c r="M13" s="7">
        <f t="shared" si="2"/>
        <v>0.87179681194511682</v>
      </c>
      <c r="N13" s="5">
        <f t="shared" si="7"/>
        <v>5</v>
      </c>
      <c r="O13" s="5" t="str">
        <f t="shared" si="3"/>
        <v>No</v>
      </c>
      <c r="P13" s="47"/>
    </row>
    <row r="14" spans="1:19" ht="15" customHeight="1" x14ac:dyDescent="0.35">
      <c r="A14" s="50">
        <f>'Raw-Data'!A30</f>
        <v>46195</v>
      </c>
      <c r="B14" s="51">
        <f>'Raw-Data'!B30</f>
        <v>139</v>
      </c>
      <c r="C14" s="52">
        <f>'Raw-Data'!C30</f>
        <v>0.84708072874780882</v>
      </c>
      <c r="D14" s="52">
        <f ca="1">IF(NOT($K13),D13,AVERAGE(OFFSET($M13,-1*MAX($L13,N13),0):OFFSET($M13,0,0)))</f>
        <v>0.88314872924516985</v>
      </c>
      <c r="E14" s="53">
        <f ca="1">IF(NOT($K13),E13,IFERROR(STDEV(OFFSET($M13,-1*MAX($L13,N13),0):OFFSET($M13,0,0)),E13))</f>
        <v>0.10055102352582569</v>
      </c>
      <c r="F14" s="52">
        <f t="shared" ca="1" si="0"/>
        <v>0.80140630779809641</v>
      </c>
      <c r="G14" s="54">
        <v>0.95</v>
      </c>
      <c r="H14" s="55">
        <f t="shared" ca="1" si="1"/>
        <v>-0.35870346449628399</v>
      </c>
      <c r="I14" s="55">
        <f t="shared" ca="1" si="4"/>
        <v>0</v>
      </c>
      <c r="J14" s="55">
        <f t="shared" ca="1" si="5"/>
        <v>0.85870346449628399</v>
      </c>
      <c r="K14" s="51" t="b">
        <f t="array" aca="1" ref="K14" ca="1">IFERROR(OR(ABS(I14)&gt;=4, ABS(J14)&gt;=4),FALSE())</f>
        <v>0</v>
      </c>
      <c r="L14" s="51">
        <f t="shared" ca="1" si="6"/>
        <v>1</v>
      </c>
      <c r="M14" s="52">
        <f t="shared" si="2"/>
        <v>0.84708072874780882</v>
      </c>
      <c r="N14" s="51">
        <f t="shared" si="7"/>
        <v>5</v>
      </c>
      <c r="O14" s="51" t="str">
        <f t="shared" si="3"/>
        <v>No</v>
      </c>
      <c r="P14" s="47"/>
    </row>
    <row r="15" spans="1:19" ht="15" customHeight="1" x14ac:dyDescent="0.35">
      <c r="A15" s="44">
        <f>'Raw-Data'!A29</f>
        <v>46196</v>
      </c>
      <c r="B15" s="5">
        <f>'Raw-Data'!B29</f>
        <v>173</v>
      </c>
      <c r="C15" s="7">
        <f>'Raw-Data'!C29</f>
        <v>0.75700311249444163</v>
      </c>
      <c r="D15" s="7">
        <f ca="1">IF(NOT($K14),D14,AVERAGE(OFFSET($M14,-1*MAX($L14,N14),0):OFFSET($M14,0,0)))</f>
        <v>0.88314872924516985</v>
      </c>
      <c r="E15" s="45">
        <f ca="1">IF(NOT($K14),E14,IFERROR(STDEV(OFFSET($M14,-1*MAX($L14,N14),0):OFFSET($M14,0,0)),E14))</f>
        <v>0.10055102352582569</v>
      </c>
      <c r="F15" s="7">
        <f t="shared" ca="1" si="0"/>
        <v>0.80987777507207825</v>
      </c>
      <c r="G15" s="6">
        <v>0.95</v>
      </c>
      <c r="H15" s="46">
        <f t="shared" ca="1" si="1"/>
        <v>-1.2545433385700819</v>
      </c>
      <c r="I15" s="46">
        <f t="shared" ca="1" si="4"/>
        <v>0</v>
      </c>
      <c r="J15" s="46">
        <f t="shared" ca="1" si="5"/>
        <v>2.613246803066366</v>
      </c>
      <c r="K15" s="5" t="b">
        <f t="array" aca="1" ref="K15" ca="1">IFERROR(OR(ABS(I15)&gt;=4, ABS(J15)&gt;=4),FALSE())</f>
        <v>0</v>
      </c>
      <c r="L15" s="5">
        <f t="shared" ca="1" si="6"/>
        <v>2</v>
      </c>
      <c r="M15" s="7">
        <f t="shared" si="2"/>
        <v>0.75700311249444163</v>
      </c>
      <c r="N15" s="5">
        <f t="shared" si="7"/>
        <v>5</v>
      </c>
      <c r="O15" s="5" t="str">
        <f t="shared" si="3"/>
        <v>No</v>
      </c>
      <c r="P15" s="47"/>
    </row>
    <row r="16" spans="1:19" ht="15" customHeight="1" x14ac:dyDescent="0.35">
      <c r="A16" s="50">
        <f>'Raw-Data'!A28</f>
        <v>46197</v>
      </c>
      <c r="B16" s="51">
        <f>'Raw-Data'!B28</f>
        <v>149</v>
      </c>
      <c r="C16" s="52">
        <f>'Raw-Data'!C28</f>
        <v>0.8347937561269887</v>
      </c>
      <c r="D16" s="52">
        <f ca="1">IF(NOT($K15),D15,AVERAGE(OFFSET($M15,-1*MAX($L15,N15),0):OFFSET($M15,0,0)))</f>
        <v>0.88314872924516985</v>
      </c>
      <c r="E16" s="53">
        <f ca="1">IF(NOT($K15),E15,IFERROR(STDEV(OFFSET($M15,-1*MAX($L15,N15),0):OFFSET($M15,0,0)),E15))</f>
        <v>0.10055102352582569</v>
      </c>
      <c r="F16" s="52">
        <f t="shared" ca="1" si="0"/>
        <v>0.80419697856006056</v>
      </c>
      <c r="G16" s="54">
        <v>0.95</v>
      </c>
      <c r="H16" s="55">
        <f t="shared" ca="1" si="1"/>
        <v>-0.48089985981854855</v>
      </c>
      <c r="I16" s="55">
        <f t="shared" ca="1" si="4"/>
        <v>0</v>
      </c>
      <c r="J16" s="55">
        <f t="shared" ca="1" si="5"/>
        <v>3.5941466628849144</v>
      </c>
      <c r="K16" s="51" t="b">
        <f t="array" aca="1" ref="K16" ca="1">IFERROR(OR(ABS(I16)&gt;=4, ABS(J16)&gt;=4),FALSE())</f>
        <v>0</v>
      </c>
      <c r="L16" s="51">
        <f t="shared" ca="1" si="6"/>
        <v>3</v>
      </c>
      <c r="M16" s="52">
        <f t="shared" si="2"/>
        <v>0.8347937561269887</v>
      </c>
      <c r="N16" s="51">
        <f t="shared" si="7"/>
        <v>5</v>
      </c>
      <c r="O16" s="51" t="str">
        <f t="shared" si="3"/>
        <v>No</v>
      </c>
      <c r="P16" s="47"/>
    </row>
    <row r="17" spans="1:16" ht="15" customHeight="1" x14ac:dyDescent="0.35">
      <c r="A17" s="44">
        <f>'Raw-Data'!A27</f>
        <v>46198</v>
      </c>
      <c r="B17" s="5">
        <f>'Raw-Data'!B27</f>
        <v>152</v>
      </c>
      <c r="C17" s="7">
        <f>'Raw-Data'!C27</f>
        <v>0.91236154903387479</v>
      </c>
      <c r="D17" s="7">
        <f ca="1">IF(NOT($K16),D16,AVERAGE(OFFSET($M16,-1*MAX($L16,N16),0):OFFSET($M16,0,0)))</f>
        <v>0.88314872924516985</v>
      </c>
      <c r="E17" s="45">
        <f ca="1">IF(NOT($K16),E16,IFERROR(STDEV(OFFSET($M16,-1*MAX($L16,N16),0):OFFSET($M16,0,0)),E16))</f>
        <v>0.10055102352582569</v>
      </c>
      <c r="F17" s="7">
        <f t="shared" ca="1" si="0"/>
        <v>0.80497999047834101</v>
      </c>
      <c r="G17" s="6">
        <v>0.95</v>
      </c>
      <c r="H17" s="46">
        <f t="shared" ca="1" si="1"/>
        <v>0.29052732398295145</v>
      </c>
      <c r="I17" s="46">
        <f t="shared" ca="1" si="4"/>
        <v>0</v>
      </c>
      <c r="J17" s="46">
        <f t="shared" ca="1" si="5"/>
        <v>3.8036193389019628</v>
      </c>
      <c r="K17" s="5" t="b">
        <f t="array" aca="1" ref="K17" ca="1">IFERROR(OR(ABS(I17)&gt;=4, ABS(J17)&gt;=4),FALSE())</f>
        <v>0</v>
      </c>
      <c r="L17" s="5">
        <f t="shared" ca="1" si="6"/>
        <v>4</v>
      </c>
      <c r="M17" s="7">
        <f t="shared" si="2"/>
        <v>0.91236154903387479</v>
      </c>
      <c r="N17" s="5">
        <f t="shared" si="7"/>
        <v>5</v>
      </c>
      <c r="O17" s="5" t="str">
        <f t="shared" si="3"/>
        <v>No</v>
      </c>
      <c r="P17" s="47"/>
    </row>
    <row r="18" spans="1:16" ht="15" customHeight="1" x14ac:dyDescent="0.35">
      <c r="A18" s="50">
        <f>'Raw-Data'!A26</f>
        <v>46199</v>
      </c>
      <c r="B18" s="51">
        <f>'Raw-Data'!B26</f>
        <v>176</v>
      </c>
      <c r="C18" s="52">
        <f>'Raw-Data'!C26</f>
        <v>0.91079595602984786</v>
      </c>
      <c r="D18" s="52">
        <f ca="1">IF(NOT($K17),D17,AVERAGE(OFFSET($M17,-1*MAX($L17,N17),0):OFFSET($M17,0,0)))</f>
        <v>0.88314872924516985</v>
      </c>
      <c r="E18" s="53">
        <f ca="1">IF(NOT($K17),E17,IFERROR(STDEV(OFFSET($M17,-1*MAX($L17,N17),0):OFFSET($M17,0,0)),E17))</f>
        <v>0.10055102352582569</v>
      </c>
      <c r="F18" s="52">
        <f t="shared" ca="1" si="0"/>
        <v>0.81050492744252023</v>
      </c>
      <c r="G18" s="54">
        <v>0.95</v>
      </c>
      <c r="H18" s="55">
        <f t="shared" ca="1" si="1"/>
        <v>0.27495718904917021</v>
      </c>
      <c r="I18" s="55">
        <f t="shared" ca="1" si="4"/>
        <v>0</v>
      </c>
      <c r="J18" s="55">
        <f t="shared" ca="1" si="5"/>
        <v>4.0286621498527921</v>
      </c>
      <c r="K18" s="51" t="b">
        <f t="array" aca="1" ref="K18" ca="1">IFERROR(OR(ABS(I18)&gt;=4, ABS(J18)&gt;=4),FALSE())</f>
        <v>1</v>
      </c>
      <c r="L18" s="51">
        <f t="shared" ca="1" si="6"/>
        <v>5</v>
      </c>
      <c r="M18" s="52">
        <f t="shared" si="2"/>
        <v>0.91079595602984786</v>
      </c>
      <c r="N18" s="51">
        <f t="shared" si="7"/>
        <v>5</v>
      </c>
      <c r="O18" s="51" t="str">
        <f t="shared" si="3"/>
        <v>No</v>
      </c>
      <c r="P18" s="47"/>
    </row>
    <row r="19" spans="1:16" ht="15" customHeight="1" x14ac:dyDescent="0.35">
      <c r="A19" s="44">
        <f>'Raw-Data'!A25</f>
        <v>46200</v>
      </c>
      <c r="B19" s="5">
        <f>'Raw-Data'!B25</f>
        <v>169</v>
      </c>
      <c r="C19" s="7">
        <f>'Raw-Data'!C25</f>
        <v>0.85784487263777143</v>
      </c>
      <c r="D19" s="7">
        <f ca="1">IF(NOT($K18),D18,AVERAGE(OFFSET($M18,-1*MAX($L18,N18),0):OFFSET($M18,0,0)))</f>
        <v>0.85563865239634651</v>
      </c>
      <c r="E19" s="45">
        <f ca="1">IF(NOT($K18),E18,IFERROR(STDEV(OFFSET($M18,-1*MAX($L18,N18),0):OFFSET($M18,0,0)),E18))</f>
        <v>5.7892346223776862E-2</v>
      </c>
      <c r="F19" s="7">
        <f t="shared" ca="1" si="0"/>
        <v>0.77453347777191006</v>
      </c>
      <c r="G19" s="6">
        <v>0.95</v>
      </c>
      <c r="H19" s="46">
        <f t="shared" ca="1" si="1"/>
        <v>3.8109014150108908E-2</v>
      </c>
      <c r="I19" s="46">
        <f t="shared" ca="1" si="4"/>
        <v>0</v>
      </c>
      <c r="J19" s="46">
        <f t="shared" ca="1" si="5"/>
        <v>0</v>
      </c>
      <c r="K19" s="5" t="b">
        <f t="array" aca="1" ref="K19" ca="1">IFERROR(OR(ABS(I19)&gt;=4, ABS(J19)&gt;=4),FALSE())</f>
        <v>0</v>
      </c>
      <c r="L19" s="5">
        <f t="shared" ca="1" si="6"/>
        <v>0</v>
      </c>
      <c r="M19" s="7">
        <f t="shared" si="2"/>
        <v>0.85784487263777143</v>
      </c>
      <c r="N19" s="5">
        <f t="shared" si="7"/>
        <v>5</v>
      </c>
      <c r="O19" s="5" t="str">
        <f t="shared" si="3"/>
        <v>No</v>
      </c>
      <c r="P19" s="47"/>
    </row>
    <row r="20" spans="1:16" ht="15" customHeight="1" x14ac:dyDescent="0.35">
      <c r="A20" s="50">
        <f>'Raw-Data'!A24</f>
        <v>46201</v>
      </c>
      <c r="B20" s="51">
        <f>'Raw-Data'!B24</f>
        <v>145</v>
      </c>
      <c r="C20" s="52">
        <f>'Raw-Data'!C24</f>
        <v>0.95390804597701107</v>
      </c>
      <c r="D20" s="52">
        <f ca="1">IF(NOT($K19),D19,AVERAGE(OFFSET($M19,-1*MAX($L19,N19),0):OFFSET($M19,0,0)))</f>
        <v>0.85563865239634651</v>
      </c>
      <c r="E20" s="53">
        <f ca="1">IF(NOT($K19),E19,IFERROR(STDEV(OFFSET($M19,-1*MAX($L19,N19),0):OFFSET($M19,0,0)),E19))</f>
        <v>5.7892346223776862E-2</v>
      </c>
      <c r="F20" s="52">
        <f t="shared" ca="1" si="0"/>
        <v>0.76807821650734642</v>
      </c>
      <c r="G20" s="54">
        <v>0.95</v>
      </c>
      <c r="H20" s="55">
        <f t="shared" ca="1" si="1"/>
        <v>1.697450526548266</v>
      </c>
      <c r="I20" s="55">
        <f t="shared" ca="1" si="4"/>
        <v>1.197450526548266</v>
      </c>
      <c r="J20" s="55">
        <f t="shared" ca="1" si="5"/>
        <v>0</v>
      </c>
      <c r="K20" s="51" t="b">
        <f t="array" aca="1" ref="K20" ca="1">IFERROR(OR(ABS(I20)&gt;=4, ABS(J20)&gt;=4),FALSE())</f>
        <v>0</v>
      </c>
      <c r="L20" s="51">
        <f t="shared" ca="1" si="6"/>
        <v>1</v>
      </c>
      <c r="M20" s="52">
        <f t="shared" si="2"/>
        <v>0.95390804597701107</v>
      </c>
      <c r="N20" s="51">
        <f t="shared" si="7"/>
        <v>5</v>
      </c>
      <c r="O20" s="51" t="str">
        <f t="shared" si="3"/>
        <v>Yes</v>
      </c>
      <c r="P20" s="47"/>
    </row>
    <row r="21" spans="1:16" ht="15" customHeight="1" x14ac:dyDescent="0.35">
      <c r="A21" s="44">
        <f>'Raw-Data'!A23</f>
        <v>46202</v>
      </c>
      <c r="B21" s="5">
        <f>'Raw-Data'!B23</f>
        <v>143</v>
      </c>
      <c r="C21" s="7">
        <f>'Raw-Data'!C23</f>
        <v>0.90813878784797408</v>
      </c>
      <c r="D21" s="7">
        <f ca="1">IF(NOT($K20),D20,AVERAGE(OFFSET($M20,-1*MAX($L20,N20),0):OFFSET($M20,0,0)))</f>
        <v>0.85563865239634651</v>
      </c>
      <c r="E21" s="45">
        <f ca="1">IF(NOT($K20),E20,IFERROR(STDEV(OFFSET($M20,-1*MAX($L20,N20),0):OFFSET($M20,0,0)),E20))</f>
        <v>5.7892346223776862E-2</v>
      </c>
      <c r="F21" s="7">
        <f t="shared" ca="1" si="0"/>
        <v>0.76746803187145729</v>
      </c>
      <c r="G21" s="6">
        <v>0.95</v>
      </c>
      <c r="H21" s="46">
        <f t="shared" ca="1" si="1"/>
        <v>0.90685796786839046</v>
      </c>
      <c r="I21" s="46">
        <f t="shared" ca="1" si="4"/>
        <v>1.6043084944166566</v>
      </c>
      <c r="J21" s="46">
        <f t="shared" ca="1" si="5"/>
        <v>0</v>
      </c>
      <c r="K21" s="5" t="b">
        <f t="array" aca="1" ref="K21" ca="1">IFERROR(OR(ABS(I21)&gt;=4, ABS(J21)&gt;=4),FALSE())</f>
        <v>0</v>
      </c>
      <c r="L21" s="5">
        <f t="shared" ca="1" si="6"/>
        <v>2</v>
      </c>
      <c r="M21" s="7">
        <f t="shared" si="2"/>
        <v>0.90813878784797408</v>
      </c>
      <c r="N21" s="5">
        <f t="shared" si="7"/>
        <v>5</v>
      </c>
      <c r="O21" s="5" t="str">
        <f t="shared" si="3"/>
        <v>No</v>
      </c>
      <c r="P21" s="47"/>
    </row>
    <row r="22" spans="1:16" ht="15" customHeight="1" x14ac:dyDescent="0.35">
      <c r="A22" s="50">
        <f>'Raw-Data'!A22</f>
        <v>46203</v>
      </c>
      <c r="B22" s="51">
        <f>'Raw-Data'!B22</f>
        <v>156</v>
      </c>
      <c r="C22" s="52">
        <f>'Raw-Data'!C22</f>
        <v>0.89349112426035426</v>
      </c>
      <c r="D22" s="52">
        <f ca="1">IF(NOT($K21),D21,AVERAGE(OFFSET($M21,-1*MAX($L21,N21),0):OFFSET($M21,0,0)))</f>
        <v>0.85563865239634651</v>
      </c>
      <c r="E22" s="53">
        <f ca="1">IF(NOT($K21),E21,IFERROR(STDEV(OFFSET($M21,-1*MAX($L21,N21),0):OFFSET($M21,0,0)),E21))</f>
        <v>5.7892346223776862E-2</v>
      </c>
      <c r="F22" s="52">
        <f t="shared" ca="1" si="0"/>
        <v>0.77122171019812014</v>
      </c>
      <c r="G22" s="54">
        <v>0.95</v>
      </c>
      <c r="H22" s="55">
        <f t="shared" ca="1" si="1"/>
        <v>0.6538424218927481</v>
      </c>
      <c r="I22" s="55">
        <f t="shared" ca="1" si="4"/>
        <v>1.7581509163094049</v>
      </c>
      <c r="J22" s="55">
        <f t="shared" ca="1" si="5"/>
        <v>0</v>
      </c>
      <c r="K22" s="51" t="b">
        <f t="array" aca="1" ref="K22" ca="1">IFERROR(OR(ABS(I22)&gt;=4, ABS(J22)&gt;=4),FALSE())</f>
        <v>0</v>
      </c>
      <c r="L22" s="51">
        <f t="shared" ca="1" si="6"/>
        <v>3</v>
      </c>
      <c r="M22" s="52">
        <f t="shared" si="2"/>
        <v>0.89349112426035426</v>
      </c>
      <c r="N22" s="51">
        <f t="shared" si="7"/>
        <v>5</v>
      </c>
      <c r="O22" s="51" t="str">
        <f t="shared" si="3"/>
        <v>No</v>
      </c>
      <c r="P22" s="47"/>
    </row>
    <row r="23" spans="1:16" ht="15" customHeight="1" x14ac:dyDescent="0.35">
      <c r="A23" s="44">
        <f>'Raw-Data'!A21</f>
        <v>46204</v>
      </c>
      <c r="B23" s="5">
        <f>'Raw-Data'!B21</f>
        <v>158</v>
      </c>
      <c r="C23" s="7">
        <f>'Raw-Data'!C21</f>
        <v>0.88262206148282074</v>
      </c>
      <c r="D23" s="7">
        <f ca="1">IF(NOT($K22),D22,AVERAGE(OFFSET($M22,-1*MAX($L22,N22),0):OFFSET($M22,0,0)))</f>
        <v>0.85563865239634651</v>
      </c>
      <c r="E23" s="45">
        <f ca="1">IF(NOT($K22),E22,IFERROR(STDEV(OFFSET($M22,-1*MAX($L22,N22),0):OFFSET($M22,0,0)),E22))</f>
        <v>5.7892346223776862E-2</v>
      </c>
      <c r="F23" s="7">
        <f t="shared" ca="1" si="0"/>
        <v>0.77175769620248702</v>
      </c>
      <c r="G23" s="6">
        <v>0.95</v>
      </c>
      <c r="H23" s="46">
        <f t="shared" ca="1" si="1"/>
        <v>0.46609631232033094</v>
      </c>
      <c r="I23" s="46">
        <f t="shared" ca="1" si="4"/>
        <v>1.7242472286297357</v>
      </c>
      <c r="J23" s="46">
        <f t="shared" ca="1" si="5"/>
        <v>3.3903687679669059E-2</v>
      </c>
      <c r="K23" s="5" t="b">
        <f t="array" aca="1" ref="K23" ca="1">IFERROR(OR(ABS(I23)&gt;=4, ABS(J23)&gt;=4),FALSE())</f>
        <v>0</v>
      </c>
      <c r="L23" s="5">
        <f t="shared" ca="1" si="6"/>
        <v>4</v>
      </c>
      <c r="M23" s="7">
        <f t="shared" si="2"/>
        <v>0.88262206148282074</v>
      </c>
      <c r="N23" s="5">
        <f t="shared" si="7"/>
        <v>5</v>
      </c>
      <c r="O23" s="5" t="str">
        <f t="shared" si="3"/>
        <v>No</v>
      </c>
      <c r="P23" s="47"/>
    </row>
    <row r="24" spans="1:16" ht="15" customHeight="1" x14ac:dyDescent="0.35">
      <c r="A24" s="50">
        <f>'Raw-Data'!A20</f>
        <v>46205</v>
      </c>
      <c r="B24" s="51">
        <f>'Raw-Data'!B20</f>
        <v>124</v>
      </c>
      <c r="C24" s="52">
        <f>'Raw-Data'!C20</f>
        <v>0.87467244962501067</v>
      </c>
      <c r="D24" s="52">
        <f ca="1">IF(NOT($K23),D23,AVERAGE(OFFSET($M23,-1*MAX($L23,N23),0):OFFSET($M23,0,0)))</f>
        <v>0.85563865239634651</v>
      </c>
      <c r="E24" s="53">
        <f ca="1">IF(NOT($K23),E23,IFERROR(STDEV(OFFSET($M23,-1*MAX($L23,N23),0):OFFSET($M23,0,0)),E23))</f>
        <v>5.7892346223776862E-2</v>
      </c>
      <c r="F24" s="52">
        <f t="shared" ca="1" si="0"/>
        <v>0.76095367639803102</v>
      </c>
      <c r="G24" s="54">
        <v>0.95</v>
      </c>
      <c r="H24" s="55">
        <f t="shared" ca="1" si="1"/>
        <v>0.3287791646082367</v>
      </c>
      <c r="I24" s="55">
        <f t="shared" ca="1" si="4"/>
        <v>1.5530263932379724</v>
      </c>
      <c r="J24" s="55">
        <f t="shared" ca="1" si="5"/>
        <v>0.20512452307143236</v>
      </c>
      <c r="K24" s="51" t="b">
        <f t="array" aca="1" ref="K24" ca="1">IFERROR(OR(ABS(I24)&gt;=4, ABS(J24)&gt;=4),FALSE())</f>
        <v>0</v>
      </c>
      <c r="L24" s="51">
        <f t="shared" ca="1" si="6"/>
        <v>5</v>
      </c>
      <c r="M24" s="52">
        <f t="shared" si="2"/>
        <v>0.87467244962501067</v>
      </c>
      <c r="N24" s="51">
        <f t="shared" si="7"/>
        <v>5</v>
      </c>
      <c r="O24" s="51" t="str">
        <f t="shared" si="3"/>
        <v>No</v>
      </c>
      <c r="P24" s="47"/>
    </row>
    <row r="25" spans="1:16" ht="15" customHeight="1" x14ac:dyDescent="0.35">
      <c r="A25" s="44">
        <f>'Raw-Data'!A19</f>
        <v>46206</v>
      </c>
      <c r="B25" s="5">
        <f>'Raw-Data'!B19</f>
        <v>172</v>
      </c>
      <c r="C25" s="7">
        <f>'Raw-Data'!C19</f>
        <v>0.84624460521004707</v>
      </c>
      <c r="D25" s="7">
        <f ca="1">IF(NOT($K24),D24,AVERAGE(OFFSET($M24,-1*MAX($L24,N24),0):OFFSET($M24,0,0)))</f>
        <v>0.85563865239634651</v>
      </c>
      <c r="E25" s="45">
        <f ca="1">IF(NOT($K24),E24,IFERROR(STDEV(OFFSET($M24,-1*MAX($L24,N24),0):OFFSET($M24,0,0)),E24))</f>
        <v>5.7892346223776862E-2</v>
      </c>
      <c r="F25" s="7">
        <f t="shared" ca="1" si="0"/>
        <v>0.77524390174712832</v>
      </c>
      <c r="G25" s="6">
        <v>0.95</v>
      </c>
      <c r="H25" s="46">
        <f t="shared" ca="1" si="1"/>
        <v>-0.16226751546720392</v>
      </c>
      <c r="I25" s="46">
        <f t="shared" ca="1" si="4"/>
        <v>0.89075887777076845</v>
      </c>
      <c r="J25" s="46">
        <f t="shared" ca="1" si="5"/>
        <v>0.86739203853863622</v>
      </c>
      <c r="K25" s="5" t="b">
        <f t="array" aca="1" ref="K25" ca="1">IFERROR(OR(ABS(I25)&gt;=4, ABS(J25)&gt;=4),FALSE())</f>
        <v>0</v>
      </c>
      <c r="L25" s="5">
        <f t="shared" ca="1" si="6"/>
        <v>6</v>
      </c>
      <c r="M25" s="7">
        <f t="shared" si="2"/>
        <v>0.84624460521004707</v>
      </c>
      <c r="N25" s="5">
        <f t="shared" si="7"/>
        <v>5</v>
      </c>
      <c r="O25" s="5" t="str">
        <f t="shared" si="3"/>
        <v>No</v>
      </c>
      <c r="P25" s="47"/>
    </row>
    <row r="26" spans="1:16" ht="15" customHeight="1" x14ac:dyDescent="0.35">
      <c r="A26" s="50">
        <f>'Raw-Data'!A18</f>
        <v>46207</v>
      </c>
      <c r="B26" s="51">
        <f>'Raw-Data'!B18</f>
        <v>183</v>
      </c>
      <c r="C26" s="52">
        <f>'Raw-Data'!C18</f>
        <v>0.87922083937561668</v>
      </c>
      <c r="D26" s="52">
        <f ca="1">IF(NOT($K25),D25,AVERAGE(OFFSET($M25,-1*MAX($L25,N25),0):OFFSET($M25,0,0)))</f>
        <v>0.85563865239634651</v>
      </c>
      <c r="E26" s="53">
        <f ca="1">IF(NOT($K25),E25,IFERROR(STDEV(OFFSET($M25,-1*MAX($L25,N25),0):OFFSET($M25,0,0)),E25))</f>
        <v>5.7892346223776862E-2</v>
      </c>
      <c r="F26" s="52">
        <f t="shared" ca="1" si="0"/>
        <v>0.77769758104941744</v>
      </c>
      <c r="G26" s="54">
        <v>0.95</v>
      </c>
      <c r="H26" s="55">
        <f t="shared" ca="1" si="1"/>
        <v>0.40734550450098655</v>
      </c>
      <c r="I26" s="55">
        <f t="shared" ca="1" si="4"/>
        <v>0.79810438227175506</v>
      </c>
      <c r="J26" s="55">
        <f t="shared" ca="1" si="5"/>
        <v>0.96004653403764961</v>
      </c>
      <c r="K26" s="51" t="b">
        <f t="array" aca="1" ref="K26" ca="1">IFERROR(OR(ABS(I26)&gt;=4, ABS(J26)&gt;=4),FALSE())</f>
        <v>0</v>
      </c>
      <c r="L26" s="51">
        <f t="shared" ca="1" si="6"/>
        <v>7</v>
      </c>
      <c r="M26" s="52">
        <f t="shared" si="2"/>
        <v>0.87922083937561668</v>
      </c>
      <c r="N26" s="51">
        <f t="shared" si="7"/>
        <v>5</v>
      </c>
      <c r="O26" s="51" t="str">
        <f t="shared" si="3"/>
        <v>No</v>
      </c>
      <c r="P26" s="47"/>
    </row>
    <row r="27" spans="1:16" ht="15" customHeight="1" x14ac:dyDescent="0.35">
      <c r="A27" s="44">
        <f>'Raw-Data'!A17</f>
        <v>46208</v>
      </c>
      <c r="B27" s="5">
        <f>'Raw-Data'!B17</f>
        <v>197</v>
      </c>
      <c r="C27" s="7">
        <f>'Raw-Data'!C17</f>
        <v>0.88493204519403901</v>
      </c>
      <c r="D27" s="7">
        <f ca="1">IF(NOT($K26),D26,AVERAGE(OFFSET($M26,-1*MAX($L26,N26),0):OFFSET($M26,0,0)))</f>
        <v>0.85563865239634651</v>
      </c>
      <c r="E27" s="45">
        <f ca="1">IF(NOT($K26),E26,IFERROR(STDEV(OFFSET($M26,-1*MAX($L26,N26),0):OFFSET($M26,0,0)),E26))</f>
        <v>5.7892346223776862E-2</v>
      </c>
      <c r="F27" s="7">
        <f t="shared" ca="1" si="0"/>
        <v>0.78051809479665679</v>
      </c>
      <c r="G27" s="6">
        <v>0.95</v>
      </c>
      <c r="H27" s="46">
        <f t="shared" ca="1" si="1"/>
        <v>0.50599767859574951</v>
      </c>
      <c r="I27" s="46">
        <f t="shared" ca="1" si="4"/>
        <v>0.80410206086750469</v>
      </c>
      <c r="J27" s="46">
        <f t="shared" ca="1" si="5"/>
        <v>0.9540488554419001</v>
      </c>
      <c r="K27" s="5" t="b">
        <f t="array" aca="1" ref="K27" ca="1">IFERROR(OR(ABS(I27)&gt;=4, ABS(J27)&gt;=4),FALSE())</f>
        <v>0</v>
      </c>
      <c r="L27" s="5">
        <f t="shared" ca="1" si="6"/>
        <v>8</v>
      </c>
      <c r="M27" s="7">
        <f t="shared" si="2"/>
        <v>0.88493204519403901</v>
      </c>
      <c r="N27" s="5">
        <f t="shared" si="7"/>
        <v>5</v>
      </c>
      <c r="O27" s="5" t="str">
        <f t="shared" si="3"/>
        <v>No</v>
      </c>
      <c r="P27" s="47"/>
    </row>
    <row r="28" spans="1:16" ht="15" customHeight="1" x14ac:dyDescent="0.35">
      <c r="A28" s="50">
        <f>'Raw-Data'!A16</f>
        <v>46209</v>
      </c>
      <c r="B28" s="51">
        <f>'Raw-Data'!B16</f>
        <v>142</v>
      </c>
      <c r="C28" s="52">
        <f>'Raw-Data'!C16</f>
        <v>0.89072152211514666</v>
      </c>
      <c r="D28" s="52">
        <f ca="1">IF(NOT($K27),D27,AVERAGE(OFFSET($M27,-1*MAX($L27,N27),0):OFFSET($M27,0,0)))</f>
        <v>0.85563865239634651</v>
      </c>
      <c r="E28" s="53">
        <f ca="1">IF(NOT($K27),E27,IFERROR(STDEV(OFFSET($M27,-1*MAX($L27,N27),0):OFFSET($M27,0,0)),E27))</f>
        <v>5.7892346223776862E-2</v>
      </c>
      <c r="F28" s="52">
        <f t="shared" ca="1" si="0"/>
        <v>0.76715811660825439</v>
      </c>
      <c r="G28" s="54">
        <v>0.95</v>
      </c>
      <c r="H28" s="55">
        <f t="shared" ca="1" si="1"/>
        <v>0.60600186392845357</v>
      </c>
      <c r="I28" s="55">
        <f t="shared" ca="1" si="4"/>
        <v>0.91010392479595836</v>
      </c>
      <c r="J28" s="55">
        <f t="shared" ca="1" si="5"/>
        <v>0.84804699151344654</v>
      </c>
      <c r="K28" s="51" t="b">
        <f t="array" aca="1" ref="K28" ca="1">IFERROR(OR(ABS(I28)&gt;=4, ABS(J28)&gt;=4),FALSE())</f>
        <v>0</v>
      </c>
      <c r="L28" s="51">
        <f t="shared" ca="1" si="6"/>
        <v>9</v>
      </c>
      <c r="M28" s="52">
        <f t="shared" si="2"/>
        <v>0.89072152211514666</v>
      </c>
      <c r="N28" s="51">
        <f t="shared" si="7"/>
        <v>5</v>
      </c>
      <c r="O28" s="51" t="str">
        <f t="shared" si="3"/>
        <v>No</v>
      </c>
      <c r="P28" s="47"/>
    </row>
    <row r="29" spans="1:16" ht="15" customHeight="1" x14ac:dyDescent="0.35">
      <c r="A29" s="44">
        <f>'Raw-Data'!A15</f>
        <v>46210</v>
      </c>
      <c r="B29" s="5">
        <f>'Raw-Data'!B15</f>
        <v>156</v>
      </c>
      <c r="C29" s="7">
        <f>'Raw-Data'!C15</f>
        <v>0.87143801215966132</v>
      </c>
      <c r="D29" s="7">
        <f ca="1">IF(NOT($K28),D28,AVERAGE(OFFSET($M28,-1*MAX($L28,N28),0):OFFSET($M28,0,0)))</f>
        <v>0.85563865239634651</v>
      </c>
      <c r="E29" s="45">
        <f ca="1">IF(NOT($K28),E28,IFERROR(STDEV(OFFSET($M28,-1*MAX($L28,N28),0):OFFSET($M28,0,0)),E28))</f>
        <v>5.7892346223776862E-2</v>
      </c>
      <c r="F29" s="7">
        <f t="shared" ca="1" si="0"/>
        <v>0.77122171019812014</v>
      </c>
      <c r="G29" s="6">
        <v>0.95</v>
      </c>
      <c r="H29" s="46">
        <f t="shared" ca="1" si="1"/>
        <v>0.27290930138232827</v>
      </c>
      <c r="I29" s="46">
        <f t="shared" ca="1" si="4"/>
        <v>0.68301322617828664</v>
      </c>
      <c r="J29" s="46">
        <f t="shared" ca="1" si="5"/>
        <v>1.0751376901311183</v>
      </c>
      <c r="K29" s="5" t="b">
        <f t="array" aca="1" ref="K29" ca="1">IFERROR(OR(ABS(I29)&gt;=4, ABS(J29)&gt;=4),FALSE())</f>
        <v>0</v>
      </c>
      <c r="L29" s="5">
        <f t="shared" ca="1" si="6"/>
        <v>10</v>
      </c>
      <c r="M29" s="7">
        <f t="shared" si="2"/>
        <v>0.87143801215966132</v>
      </c>
      <c r="N29" s="5">
        <f t="shared" si="7"/>
        <v>5</v>
      </c>
      <c r="O29" s="5" t="str">
        <f t="shared" si="3"/>
        <v>No</v>
      </c>
      <c r="P29" s="47"/>
    </row>
    <row r="30" spans="1:16" ht="15" customHeight="1" x14ac:dyDescent="0.35">
      <c r="A30" s="50">
        <f>'Raw-Data'!A14</f>
        <v>46211</v>
      </c>
      <c r="B30" s="51">
        <f>'Raw-Data'!B14</f>
        <v>160</v>
      </c>
      <c r="C30" s="52">
        <f>'Raw-Data'!C14</f>
        <v>0.84783430232558099</v>
      </c>
      <c r="D30" s="52">
        <f ca="1">IF(NOT($K29),D29,AVERAGE(OFFSET($M29,-1*MAX($L29,N29),0):OFFSET($M29,0,0)))</f>
        <v>0.85563865239634651</v>
      </c>
      <c r="E30" s="53">
        <f ca="1">IF(NOT($K29),E29,IFERROR(STDEV(OFFSET($M29,-1*MAX($L29,N29),0):OFFSET($M29,0,0)),E29))</f>
        <v>5.7892346223776862E-2</v>
      </c>
      <c r="F30" s="52">
        <f t="shared" ca="1" si="0"/>
        <v>0.77228360079870051</v>
      </c>
      <c r="G30" s="54">
        <v>0.95</v>
      </c>
      <c r="H30" s="55">
        <f t="shared" ca="1" si="1"/>
        <v>-0.13480797687139184</v>
      </c>
      <c r="I30" s="55">
        <f t="shared" ca="1" si="4"/>
        <v>4.8205249306894737E-2</v>
      </c>
      <c r="J30" s="55">
        <f t="shared" ca="1" si="5"/>
        <v>1.7099456670025102</v>
      </c>
      <c r="K30" s="51" t="b">
        <f t="array" aca="1" ref="K30" ca="1">IFERROR(OR(ABS(I30)&gt;=4, ABS(J30)&gt;=4),FALSE())</f>
        <v>0</v>
      </c>
      <c r="L30" s="51">
        <f t="shared" ca="1" si="6"/>
        <v>11</v>
      </c>
      <c r="M30" s="52">
        <f t="shared" si="2"/>
        <v>0.84783430232558099</v>
      </c>
      <c r="N30" s="51">
        <f t="shared" si="7"/>
        <v>5</v>
      </c>
      <c r="O30" s="51" t="str">
        <f t="shared" si="3"/>
        <v>No</v>
      </c>
      <c r="P30" s="47"/>
    </row>
    <row r="31" spans="1:16" ht="15" customHeight="1" x14ac:dyDescent="0.35">
      <c r="A31" s="44">
        <f>'Raw-Data'!A13</f>
        <v>46212</v>
      </c>
      <c r="B31" s="5">
        <f>'Raw-Data'!B13</f>
        <v>143</v>
      </c>
      <c r="C31" s="7">
        <f>'Raw-Data'!C13</f>
        <v>0.96840627403287216</v>
      </c>
      <c r="D31" s="7">
        <f ca="1">IF(NOT($K30),D30,AVERAGE(OFFSET($M30,-1*MAX($L30,N30),0):OFFSET($M30,0,0)))</f>
        <v>0.85563865239634651</v>
      </c>
      <c r="E31" s="45">
        <f ca="1">IF(NOT($K30),E30,IFERROR(STDEV(OFFSET($M30,-1*MAX($L30,N30),0):OFFSET($M30,0,0)),E30))</f>
        <v>5.7892346223776862E-2</v>
      </c>
      <c r="F31" s="7">
        <f t="shared" ca="1" si="0"/>
        <v>0.76746803187145729</v>
      </c>
      <c r="G31" s="6">
        <v>0.95</v>
      </c>
      <c r="H31" s="46">
        <f t="shared" ca="1" si="1"/>
        <v>1.9478848067520722</v>
      </c>
      <c r="I31" s="46">
        <f t="shared" ca="1" si="4"/>
        <v>1.4960900560589669</v>
      </c>
      <c r="J31" s="46">
        <f t="shared" ca="1" si="5"/>
        <v>0.26206086025043795</v>
      </c>
      <c r="K31" s="5" t="b">
        <f t="array" aca="1" ref="K31" ca="1">IFERROR(OR(ABS(I31)&gt;=4, ABS(J31)&gt;=4),FALSE())</f>
        <v>0</v>
      </c>
      <c r="L31" s="5">
        <f t="shared" ca="1" si="6"/>
        <v>12</v>
      </c>
      <c r="M31" s="7">
        <f t="shared" si="2"/>
        <v>0.96840627403287216</v>
      </c>
      <c r="N31" s="5">
        <f t="shared" si="7"/>
        <v>5</v>
      </c>
      <c r="O31" s="5" t="str">
        <f t="shared" si="3"/>
        <v>Yes</v>
      </c>
      <c r="P31" s="47"/>
    </row>
    <row r="32" spans="1:16" ht="15" customHeight="1" x14ac:dyDescent="0.35">
      <c r="A32" s="50">
        <f>'Raw-Data'!A12</f>
        <v>46213</v>
      </c>
      <c r="B32" s="51">
        <f>'Raw-Data'!B12</f>
        <v>179</v>
      </c>
      <c r="C32" s="52">
        <f>'Raw-Data'!C12</f>
        <v>0.93952545133929932</v>
      </c>
      <c r="D32" s="52">
        <f ca="1">IF(NOT($K31),D31,AVERAGE(OFFSET($M31,-1*MAX($L31,N31),0):OFFSET($M31,0,0)))</f>
        <v>0.85563865239634651</v>
      </c>
      <c r="E32" s="53">
        <f ca="1">IF(NOT($K31),E31,IFERROR(STDEV(OFFSET($M31,-1*MAX($L31,N31),0):OFFSET($M31,0,0)),E31))</f>
        <v>5.7892346223776862E-2</v>
      </c>
      <c r="F32" s="52">
        <f t="shared" ca="1" si="0"/>
        <v>0.77683154256284559</v>
      </c>
      <c r="G32" s="54">
        <v>0.95</v>
      </c>
      <c r="H32" s="55">
        <f t="shared" ca="1" si="1"/>
        <v>1.4490136333168653</v>
      </c>
      <c r="I32" s="55">
        <f t="shared" ca="1" si="4"/>
        <v>2.4451036893758324</v>
      </c>
      <c r="J32" s="55">
        <f t="shared" ca="1" si="5"/>
        <v>0</v>
      </c>
      <c r="K32" s="51" t="b">
        <f t="array" aca="1" ref="K32" ca="1">IFERROR(OR(ABS(I32)&gt;=4, ABS(J32)&gt;=4),FALSE())</f>
        <v>0</v>
      </c>
      <c r="L32" s="51">
        <f t="shared" ca="1" si="6"/>
        <v>13</v>
      </c>
      <c r="M32" s="52">
        <f t="shared" si="2"/>
        <v>0.93952545133929932</v>
      </c>
      <c r="N32" s="51">
        <f t="shared" si="7"/>
        <v>5</v>
      </c>
      <c r="O32" s="51" t="str">
        <f t="shared" si="3"/>
        <v>No</v>
      </c>
      <c r="P32" s="47"/>
    </row>
    <row r="33" spans="1:16" ht="15" customHeight="1" x14ac:dyDescent="0.35">
      <c r="A33" s="44">
        <f>'Raw-Data'!A11</f>
        <v>46214</v>
      </c>
      <c r="B33" s="5">
        <f>'Raw-Data'!B11</f>
        <v>184</v>
      </c>
      <c r="C33" s="7">
        <f>'Raw-Data'!C11</f>
        <v>0.95855343356359146</v>
      </c>
      <c r="D33" s="7">
        <f ca="1">IF(NOT($K32),D32,AVERAGE(OFFSET($M32,-1*MAX($L32,N32),0):OFFSET($M32,0,0)))</f>
        <v>0.85563865239634651</v>
      </c>
      <c r="E33" s="45">
        <f ca="1">IF(NOT($K32),E32,IFERROR(STDEV(OFFSET($M32,-1*MAX($L32,N32),0):OFFSET($M32,0,0)),E32))</f>
        <v>5.7892346223776862E-2</v>
      </c>
      <c r="F33" s="7">
        <f t="shared" ca="1" si="0"/>
        <v>0.77790966599042222</v>
      </c>
      <c r="G33" s="6">
        <v>0.95</v>
      </c>
      <c r="H33" s="46">
        <f t="shared" ca="1" si="1"/>
        <v>1.7776923527928636</v>
      </c>
      <c r="I33" s="46">
        <f t="shared" ca="1" si="4"/>
        <v>3.7227960421686959</v>
      </c>
      <c r="J33" s="46">
        <f t="shared" ca="1" si="5"/>
        <v>0</v>
      </c>
      <c r="K33" s="5" t="b">
        <f t="array" aca="1" ref="K33" ca="1">IFERROR(OR(ABS(I33)&gt;=4, ABS(J33)&gt;=4),FALSE())</f>
        <v>0</v>
      </c>
      <c r="L33" s="5">
        <f t="shared" ca="1" si="6"/>
        <v>14</v>
      </c>
      <c r="M33" s="7">
        <f t="shared" si="2"/>
        <v>0.95855343356359146</v>
      </c>
      <c r="N33" s="5">
        <f t="shared" si="7"/>
        <v>5</v>
      </c>
      <c r="O33" s="5" t="str">
        <f t="shared" si="3"/>
        <v>Yes</v>
      </c>
      <c r="P33" s="47"/>
    </row>
    <row r="34" spans="1:16" ht="15" customHeight="1" x14ac:dyDescent="0.35">
      <c r="A34" s="50">
        <f>'Raw-Data'!A10</f>
        <v>46215</v>
      </c>
      <c r="B34" s="51">
        <f>'Raw-Data'!B10</f>
        <v>182</v>
      </c>
      <c r="C34" s="52">
        <f>'Raw-Data'!C10</f>
        <v>0.91207069949517916</v>
      </c>
      <c r="D34" s="52">
        <f ca="1">IF(NOT($K33),D33,AVERAGE(OFFSET($M33,-1*MAX($L33,N33),0):OFFSET($M33,0,0)))</f>
        <v>0.85563865239634651</v>
      </c>
      <c r="E34" s="53">
        <f ca="1">IF(NOT($K33),E33,IFERROR(STDEV(OFFSET($M33,-1*MAX($L33,N33),0):OFFSET($M33,0,0)),E33))</f>
        <v>5.7892346223776862E-2</v>
      </c>
      <c r="F34" s="52">
        <f t="shared" ca="1" si="0"/>
        <v>0.77748375054789087</v>
      </c>
      <c r="G34" s="54">
        <v>0.95</v>
      </c>
      <c r="H34" s="55">
        <f t="shared" ca="1" si="1"/>
        <v>0.97477560990014844</v>
      </c>
      <c r="I34" s="55">
        <f t="shared" ca="1" si="4"/>
        <v>4.1975716520688442</v>
      </c>
      <c r="J34" s="55">
        <f t="shared" ca="1" si="5"/>
        <v>0</v>
      </c>
      <c r="K34" s="51" t="b">
        <f t="array" aca="1" ref="K34" ca="1">IFERROR(OR(ABS(I34)&gt;=4, ABS(J34)&gt;=4),FALSE())</f>
        <v>1</v>
      </c>
      <c r="L34" s="51">
        <f t="shared" ca="1" si="6"/>
        <v>15</v>
      </c>
      <c r="M34" s="52">
        <f t="shared" si="2"/>
        <v>0.91207069949517916</v>
      </c>
      <c r="N34" s="51">
        <f t="shared" si="7"/>
        <v>5</v>
      </c>
      <c r="O34" s="51" t="str">
        <f t="shared" si="3"/>
        <v>No</v>
      </c>
      <c r="P34" s="47"/>
    </row>
    <row r="35" spans="1:16" ht="15" customHeight="1" x14ac:dyDescent="0.35">
      <c r="A35" s="44">
        <f>'Raw-Data'!A9</f>
        <v>46216</v>
      </c>
      <c r="B35" s="5">
        <f>'Raw-Data'!B9</f>
        <v>191</v>
      </c>
      <c r="C35" s="7">
        <f>'Raw-Data'!C9</f>
        <v>0.90184071010603162</v>
      </c>
      <c r="D35" s="7">
        <f ca="1">IF(NOT($K34),D34,AVERAGE(OFFSET($M34,-1*MAX($L34,N34),0):OFFSET($M34,0,0)))</f>
        <v>0.89810153291512351</v>
      </c>
      <c r="E35" s="45">
        <f ca="1">IF(NOT($K34),E34,IFERROR(STDEV(OFFSET($M34,-1*MAX($L34,N34),0):OFFSET($M34,0,0)),E34))</f>
        <v>3.8871609858788007E-2</v>
      </c>
      <c r="F35" s="7">
        <f t="shared" ca="1" si="0"/>
        <v>0.83243393727344139</v>
      </c>
      <c r="G35" s="6">
        <v>0.95</v>
      </c>
      <c r="H35" s="46">
        <f t="shared" ca="1" si="1"/>
        <v>9.6193010901573464E-2</v>
      </c>
      <c r="I35" s="46">
        <f t="shared" ca="1" si="4"/>
        <v>0</v>
      </c>
      <c r="J35" s="46">
        <f t="shared" ca="1" si="5"/>
        <v>0</v>
      </c>
      <c r="K35" s="5" t="b">
        <f t="array" aca="1" ref="K35" ca="1">IFERROR(OR(ABS(I35)&gt;=4, ABS(J35)&gt;=4),FALSE())</f>
        <v>0</v>
      </c>
      <c r="L35" s="5">
        <f t="shared" ca="1" si="6"/>
        <v>0</v>
      </c>
      <c r="M35" s="7">
        <f t="shared" si="2"/>
        <v>0.90184071010603162</v>
      </c>
      <c r="N35" s="5">
        <f t="shared" si="7"/>
        <v>5</v>
      </c>
      <c r="O35" s="5" t="str">
        <f t="shared" si="3"/>
        <v>No</v>
      </c>
      <c r="P35" s="47"/>
    </row>
    <row r="36" spans="1:16" ht="15" customHeight="1" x14ac:dyDescent="0.35">
      <c r="A36" s="50">
        <f>'Raw-Data'!A8</f>
        <v>46217</v>
      </c>
      <c r="B36" s="51">
        <f>'Raw-Data'!B8</f>
        <v>194</v>
      </c>
      <c r="C36" s="52">
        <f>'Raw-Data'!C8</f>
        <v>0.91248629930265357</v>
      </c>
      <c r="D36" s="52">
        <f ca="1">IF(NOT($K35),D35,AVERAGE(OFFSET($M35,-1*MAX($L35,N35),0):OFFSET($M35,0,0)))</f>
        <v>0.89810153291512351</v>
      </c>
      <c r="E36" s="53">
        <f ca="1">IF(NOT($K35),E35,IFERROR(STDEV(OFFSET($M35,-1*MAX($L35,N35),0):OFFSET($M35,0,0)),E35))</f>
        <v>3.8871609858788007E-2</v>
      </c>
      <c r="F36" s="52">
        <f t="shared" ca="1" si="0"/>
        <v>0.83294365464947773</v>
      </c>
      <c r="G36" s="54">
        <v>0.95</v>
      </c>
      <c r="H36" s="55">
        <f t="shared" ca="1" si="1"/>
        <v>0.37005841640690323</v>
      </c>
      <c r="I36" s="55">
        <f t="shared" ca="1" si="4"/>
        <v>0</v>
      </c>
      <c r="J36" s="55">
        <f t="shared" ca="1" si="5"/>
        <v>0.12994158359309677</v>
      </c>
      <c r="K36" s="51" t="b">
        <f t="array" aca="1" ref="K36" ca="1">IFERROR(OR(ABS(I36)&gt;=4, ABS(J36)&gt;=4),FALSE())</f>
        <v>0</v>
      </c>
      <c r="L36" s="51">
        <f t="shared" ca="1" si="6"/>
        <v>1</v>
      </c>
      <c r="M36" s="52">
        <f t="shared" si="2"/>
        <v>0.91248629930265357</v>
      </c>
      <c r="N36" s="51">
        <f t="shared" si="7"/>
        <v>5</v>
      </c>
      <c r="O36" s="51" t="str">
        <f t="shared" si="3"/>
        <v>No</v>
      </c>
      <c r="P36" s="47"/>
    </row>
    <row r="37" spans="1:16" ht="15" customHeight="1" x14ac:dyDescent="0.35">
      <c r="A37" s="44">
        <f>'Raw-Data'!A7</f>
        <v>46218</v>
      </c>
      <c r="B37" s="5">
        <f>'Raw-Data'!B7</f>
        <v>181</v>
      </c>
      <c r="C37" s="7">
        <f>'Raw-Data'!C7</f>
        <v>0.85187679558011054</v>
      </c>
      <c r="D37" s="7">
        <f ca="1">IF(NOT($K36),D36,AVERAGE(OFFSET($M36,-1*MAX($L36,N36),0):OFFSET($M36,0,0)))</f>
        <v>0.89810153291512351</v>
      </c>
      <c r="E37" s="45">
        <f ca="1">IF(NOT($K36),E36,IFERROR(STDEV(OFFSET($M36,-1*MAX($L36,N36),0):OFFSET($M36,0,0)),E36))</f>
        <v>3.8871609858788007E-2</v>
      </c>
      <c r="F37" s="7">
        <f t="shared" ca="1" si="0"/>
        <v>0.83064430171660419</v>
      </c>
      <c r="G37" s="6">
        <v>0.95</v>
      </c>
      <c r="H37" s="46">
        <f t="shared" ca="1" si="1"/>
        <v>-1.1891644699804629</v>
      </c>
      <c r="I37" s="46">
        <f t="shared" ca="1" si="4"/>
        <v>0</v>
      </c>
      <c r="J37" s="46">
        <f t="shared" ca="1" si="5"/>
        <v>1.8191060535735597</v>
      </c>
      <c r="K37" s="5" t="b">
        <f t="array" aca="1" ref="K37" ca="1">IFERROR(OR(ABS(I37)&gt;=4, ABS(J37)&gt;=4),FALSE())</f>
        <v>0</v>
      </c>
      <c r="L37" s="5">
        <f t="shared" ca="1" si="6"/>
        <v>2</v>
      </c>
      <c r="M37" s="7">
        <f t="shared" si="2"/>
        <v>0.85187679558011054</v>
      </c>
      <c r="N37" s="5">
        <f t="shared" si="7"/>
        <v>5</v>
      </c>
      <c r="O37" s="5" t="str">
        <f t="shared" si="3"/>
        <v>No</v>
      </c>
      <c r="P37" s="47"/>
    </row>
    <row r="38" spans="1:16" ht="15" customHeight="1" x14ac:dyDescent="0.35">
      <c r="A38" s="50">
        <f>'Raw-Data'!A6</f>
        <v>46219</v>
      </c>
      <c r="B38" s="51">
        <f>'Raw-Data'!B6</f>
        <v>190</v>
      </c>
      <c r="C38" s="52">
        <f>'Raw-Data'!C6</f>
        <v>0.86999894736842109</v>
      </c>
      <c r="D38" s="52">
        <f ca="1">IF(NOT($K37),D37,AVERAGE(OFFSET($M37,-1*MAX($L37,N37),0):OFFSET($M37,0,0)))</f>
        <v>0.89810153291512351</v>
      </c>
      <c r="E38" s="53">
        <f ca="1">IF(NOT($K37),E37,IFERROR(STDEV(OFFSET($M37,-1*MAX($L37,N37),0):OFFSET($M37,0,0)),E37))</f>
        <v>3.8871609858788007E-2</v>
      </c>
      <c r="F38" s="52">
        <f t="shared" ca="1" si="0"/>
        <v>0.83226135459568806</v>
      </c>
      <c r="G38" s="54">
        <v>0.95</v>
      </c>
      <c r="H38" s="55">
        <f t="shared" ca="1" si="1"/>
        <v>-0.72295913775613918</v>
      </c>
      <c r="I38" s="55">
        <f t="shared" ca="1" si="4"/>
        <v>0</v>
      </c>
      <c r="J38" s="55">
        <f t="shared" ca="1" si="5"/>
        <v>3.0420651913296988</v>
      </c>
      <c r="K38" s="51" t="b">
        <f t="array" aca="1" ref="K38" ca="1">IFERROR(OR(ABS(I38)&gt;=4, ABS(J38)&gt;=4),FALSE())</f>
        <v>0</v>
      </c>
      <c r="L38" s="51">
        <f t="shared" ca="1" si="6"/>
        <v>3</v>
      </c>
      <c r="M38" s="52">
        <f t="shared" si="2"/>
        <v>0.86999894736842109</v>
      </c>
      <c r="N38" s="51">
        <f t="shared" si="7"/>
        <v>5</v>
      </c>
      <c r="O38" s="51" t="str">
        <f t="shared" si="3"/>
        <v>No</v>
      </c>
      <c r="P38" s="47"/>
    </row>
    <row r="41" spans="1:16" ht="15.5" x14ac:dyDescent="0.35">
      <c r="A41" s="66" t="s">
        <v>53</v>
      </c>
      <c r="B41" s="66"/>
      <c r="C41" s="66"/>
      <c r="D41" s="66"/>
      <c r="E41" s="66"/>
      <c r="F41" s="66"/>
      <c r="G41" s="66"/>
      <c r="H41" s="66"/>
      <c r="I41" s="66"/>
      <c r="J41" s="66"/>
      <c r="K41" s="66"/>
      <c r="L41" s="66"/>
      <c r="M41" s="66"/>
      <c r="N41" s="66"/>
      <c r="O41" s="66"/>
    </row>
    <row r="43" spans="1:16" x14ac:dyDescent="0.35">
      <c r="A43" s="67" t="s">
        <v>54</v>
      </c>
      <c r="B43" s="67"/>
      <c r="C43" s="67"/>
      <c r="D43" s="67"/>
      <c r="E43" s="67"/>
      <c r="F43" s="67"/>
      <c r="G43" s="67"/>
      <c r="H43" s="67"/>
      <c r="I43" s="67"/>
      <c r="J43" s="67"/>
      <c r="K43" s="67"/>
      <c r="L43" s="67"/>
      <c r="M43" s="67"/>
      <c r="N43" s="67"/>
      <c r="O43" s="67"/>
    </row>
    <row r="44" spans="1:16" ht="15" customHeight="1" x14ac:dyDescent="0.35">
      <c r="A44" s="65" t="s">
        <v>68</v>
      </c>
      <c r="B44" s="65"/>
      <c r="C44" s="65"/>
      <c r="D44" s="65"/>
      <c r="E44" s="65"/>
      <c r="F44" s="65"/>
      <c r="G44" s="65"/>
      <c r="H44" s="65"/>
      <c r="I44" s="65"/>
      <c r="J44" s="65"/>
      <c r="K44" s="65"/>
      <c r="L44" s="65"/>
      <c r="M44" s="65"/>
      <c r="N44" s="65"/>
      <c r="O44" s="65"/>
    </row>
    <row r="45" spans="1:16" x14ac:dyDescent="0.35">
      <c r="A45" s="65"/>
      <c r="B45" s="65"/>
      <c r="C45" s="65"/>
      <c r="D45" s="65"/>
      <c r="E45" s="65"/>
      <c r="F45" s="65"/>
      <c r="G45" s="65"/>
      <c r="H45" s="65"/>
      <c r="I45" s="65"/>
      <c r="J45" s="65"/>
      <c r="K45" s="65"/>
      <c r="L45" s="65"/>
      <c r="M45" s="65"/>
      <c r="N45" s="65"/>
      <c r="O45" s="65"/>
    </row>
    <row r="46" spans="1:16" x14ac:dyDescent="0.35">
      <c r="A46" s="65"/>
      <c r="B46" s="65"/>
      <c r="C46" s="65"/>
      <c r="D46" s="65"/>
      <c r="E46" s="65"/>
      <c r="F46" s="65"/>
      <c r="G46" s="65"/>
      <c r="H46" s="65"/>
      <c r="I46" s="65"/>
      <c r="J46" s="65"/>
      <c r="K46" s="65"/>
      <c r="L46" s="65"/>
      <c r="M46" s="65"/>
      <c r="N46" s="65"/>
      <c r="O46" s="65"/>
    </row>
    <row r="49" spans="1:15" x14ac:dyDescent="0.35">
      <c r="A49" s="67" t="s">
        <v>56</v>
      </c>
      <c r="B49" s="67"/>
      <c r="C49" s="67"/>
      <c r="D49" s="67"/>
      <c r="E49" s="67"/>
      <c r="F49" s="67"/>
      <c r="G49" s="67"/>
      <c r="H49" s="67"/>
      <c r="I49" s="67"/>
      <c r="J49" s="67"/>
      <c r="K49" s="67"/>
      <c r="L49" s="67"/>
      <c r="M49" s="67"/>
      <c r="N49" s="67"/>
      <c r="O49" s="67"/>
    </row>
    <row r="50" spans="1:15" ht="15" customHeight="1" x14ac:dyDescent="0.35">
      <c r="A50" s="65" t="s">
        <v>69</v>
      </c>
      <c r="B50" s="65"/>
      <c r="C50" s="65"/>
      <c r="D50" s="65"/>
      <c r="E50" s="65"/>
      <c r="F50" s="65"/>
      <c r="G50" s="65"/>
      <c r="H50" s="65"/>
      <c r="I50" s="65"/>
      <c r="J50" s="65"/>
      <c r="K50" s="65"/>
      <c r="L50" s="65"/>
      <c r="M50" s="65"/>
      <c r="N50" s="65"/>
      <c r="O50" s="65"/>
    </row>
    <row r="51" spans="1:15" x14ac:dyDescent="0.35">
      <c r="A51" s="65"/>
      <c r="B51" s="65"/>
      <c r="C51" s="65"/>
      <c r="D51" s="65"/>
      <c r="E51" s="65"/>
      <c r="F51" s="65"/>
      <c r="G51" s="65"/>
      <c r="H51" s="65"/>
      <c r="I51" s="65"/>
      <c r="J51" s="65"/>
      <c r="K51" s="65"/>
      <c r="L51" s="65"/>
      <c r="M51" s="65"/>
      <c r="N51" s="65"/>
      <c r="O51" s="65"/>
    </row>
    <row r="52" spans="1:15" x14ac:dyDescent="0.35">
      <c r="A52" s="65"/>
      <c r="B52" s="65"/>
      <c r="C52" s="65"/>
      <c r="D52" s="65"/>
      <c r="E52" s="65"/>
      <c r="F52" s="65"/>
      <c r="G52" s="65"/>
      <c r="H52" s="65"/>
      <c r="I52" s="65"/>
      <c r="J52" s="65"/>
      <c r="K52" s="65"/>
      <c r="L52" s="65"/>
      <c r="M52" s="65"/>
      <c r="N52" s="65"/>
      <c r="O52" s="65"/>
    </row>
  </sheetData>
  <mergeCells count="8">
    <mergeCell ref="A50:O52"/>
    <mergeCell ref="A1:O1"/>
    <mergeCell ref="A2:O2"/>
    <mergeCell ref="R4:S4"/>
    <mergeCell ref="A41:O41"/>
    <mergeCell ref="A43:O43"/>
    <mergeCell ref="A44:O46"/>
    <mergeCell ref="A49:O49"/>
  </mergeCells>
  <conditionalFormatting sqref="K5:K38">
    <cfRule type="cellIs" dxfId="8" priority="2" operator="equal">
      <formula>1</formula>
    </cfRule>
  </conditionalFormatting>
  <conditionalFormatting sqref="O5:O38">
    <cfRule type="cellIs" dxfId="7" priority="3" operator="equal">
      <formula>"No"</formula>
    </cfRule>
    <cfRule type="cellIs" dxfId="6" priority="4" operator="equal">
      <formula>"Yes"</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9"/>
  <sheetViews>
    <sheetView zoomScaleNormal="100" workbookViewId="0"/>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70</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11</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'Raw-Data'!A39</f>
        <v>46186</v>
      </c>
      <c r="B5" s="5">
        <f>'Raw-Data'!B39</f>
        <v>125</v>
      </c>
      <c r="C5" s="7">
        <f>'Raw-Data'!D39</f>
        <v>0.88239999999999996</v>
      </c>
      <c r="D5" s="7">
        <v>0.85</v>
      </c>
      <c r="E5" s="45">
        <v>0.05</v>
      </c>
      <c r="F5" s="7">
        <f t="shared" ref="F5:F38" si="0">MAX(0,D5-3*SQRT(D5*(1-D5)/B5))</f>
        <v>0.75418768346397214</v>
      </c>
      <c r="G5" s="6">
        <v>0.9</v>
      </c>
      <c r="H5" s="46">
        <f t="shared" ref="H5:H38" si="1">(C5-D5)/E5</f>
        <v>0.64799999999999969</v>
      </c>
      <c r="I5" s="46">
        <v>0</v>
      </c>
      <c r="J5" s="46">
        <v>0</v>
      </c>
      <c r="K5" s="5" t="b">
        <f t="array" ref="K5">IFERROR(OR(ABS(I5)&gt;=4, ABS(J5)&gt;=4),FALSE())</f>
        <v>0</v>
      </c>
      <c r="L5" s="5">
        <v>0</v>
      </c>
      <c r="M5" s="7">
        <f t="shared" ref="M5:M38" si="2">IF(P5="y","",C5)</f>
        <v>0.88239999999999996</v>
      </c>
      <c r="N5" s="5">
        <v>1</v>
      </c>
      <c r="O5" s="5" t="str">
        <f t="shared" ref="O5:O38" si="3">IF(C5&gt;=G5,"Yes","No")</f>
        <v>No</v>
      </c>
      <c r="P5" s="47"/>
      <c r="R5" s="48" t="s">
        <v>4</v>
      </c>
      <c r="S5" s="49">
        <v>0.9</v>
      </c>
    </row>
    <row r="6" spans="1:19" ht="15" customHeight="1" x14ac:dyDescent="0.35">
      <c r="A6" s="50">
        <f>'Raw-Data'!A38</f>
        <v>46187</v>
      </c>
      <c r="B6" s="51">
        <f>'Raw-Data'!B38</f>
        <v>112</v>
      </c>
      <c r="C6" s="52">
        <f>'Raw-Data'!D38</f>
        <v>0.97829999999999995</v>
      </c>
      <c r="D6" s="52">
        <f ca="1">IF(NOT($K5),D5,AVERAGE(OFFSET($M5,-1*MAX($L5,N5),0):OFFSET($M5,0,0)))</f>
        <v>0.85</v>
      </c>
      <c r="E6" s="53">
        <f ca="1">IF(NOT($K5),E5,IFERROR(STDEV(OFFSET($M5,-1*MAX($L5,N5),0):OFFSET($M5,0,0)),E5))</f>
        <v>0.05</v>
      </c>
      <c r="F6" s="52">
        <f t="shared" ca="1" si="0"/>
        <v>0.7487797662802258</v>
      </c>
      <c r="G6" s="54">
        <v>0.9</v>
      </c>
      <c r="H6" s="55">
        <f t="shared" ca="1" si="1"/>
        <v>2.5659999999999994</v>
      </c>
      <c r="I6" s="55">
        <f t="shared" ref="I6:I38" ca="1" si="4">IF(P6="y",I5,IF(K5,0,MAX(0,I5+H6-0.5)))</f>
        <v>2.0659999999999994</v>
      </c>
      <c r="J6" s="55">
        <f t="shared" ref="J6:J38" ca="1" si="5">IF(P6="y",J5,IF(K5,0,MAX(0,J5-H6+0.5)))</f>
        <v>0</v>
      </c>
      <c r="K6" s="51" t="b">
        <f t="array" aca="1" ref="K6" ca="1">IFERROR(OR(ABS(I6)&gt;=4, ABS(J6)&gt;=4),FALSE())</f>
        <v>0</v>
      </c>
      <c r="L6" s="51">
        <f t="shared" ref="L6:L38" si="6">IF(K5,0,L5+1)</f>
        <v>1</v>
      </c>
      <c r="M6" s="52">
        <f t="shared" si="2"/>
        <v>0.97829999999999995</v>
      </c>
      <c r="N6" s="51">
        <f t="shared" ref="N6:N38" si="7">MIN(5,N5+1)</f>
        <v>2</v>
      </c>
      <c r="O6" s="51" t="str">
        <f t="shared" si="3"/>
        <v>Yes</v>
      </c>
      <c r="P6" s="47"/>
      <c r="R6" s="48" t="s">
        <v>46</v>
      </c>
      <c r="S6" s="56">
        <v>34</v>
      </c>
    </row>
    <row r="7" spans="1:19" ht="15" customHeight="1" x14ac:dyDescent="0.35">
      <c r="A7" s="44">
        <f>'Raw-Data'!A37</f>
        <v>46188</v>
      </c>
      <c r="B7" s="5">
        <f>'Raw-Data'!B37</f>
        <v>101</v>
      </c>
      <c r="C7" s="7">
        <f>'Raw-Data'!D37</f>
        <v>0.44</v>
      </c>
      <c r="D7" s="7">
        <f ca="1">IF(NOT($K6),D6,AVERAGE(OFFSET($M6,-1*MAX($L6,N6),0):OFFSET($M6,0,0)))</f>
        <v>0.85</v>
      </c>
      <c r="E7" s="45">
        <f ca="1">IF(NOT($K6),E6,IFERROR(STDEV(OFFSET($M6,-1*MAX($L6,N6),0):OFFSET($M6,0,0)),E6))</f>
        <v>0.05</v>
      </c>
      <c r="F7" s="7">
        <f t="shared" ca="1" si="0"/>
        <v>0.74341019683565479</v>
      </c>
      <c r="G7" s="6">
        <v>0.9</v>
      </c>
      <c r="H7" s="46">
        <f t="shared" ca="1" si="1"/>
        <v>-8.1999999999999993</v>
      </c>
      <c r="I7" s="46">
        <f t="shared" ca="1" si="4"/>
        <v>0</v>
      </c>
      <c r="J7" s="46">
        <f t="shared" ca="1" si="5"/>
        <v>8.6999999999999993</v>
      </c>
      <c r="K7" s="5" t="b">
        <f t="array" aca="1" ref="K7" ca="1">IFERROR(OR(ABS(I7)&gt;=4, ABS(J7)&gt;=4),FALSE())</f>
        <v>1</v>
      </c>
      <c r="L7" s="5">
        <f t="shared" ca="1" si="6"/>
        <v>2</v>
      </c>
      <c r="M7" s="7">
        <f t="shared" si="2"/>
        <v>0.44</v>
      </c>
      <c r="N7" s="5">
        <f t="shared" si="7"/>
        <v>3</v>
      </c>
      <c r="O7" s="5" t="str">
        <f t="shared" si="3"/>
        <v>No</v>
      </c>
      <c r="P7" s="47"/>
      <c r="R7" s="48" t="s">
        <v>47</v>
      </c>
      <c r="S7" s="56">
        <f ca="1">COUNTIF(K5:K38,TRUE())</f>
        <v>5</v>
      </c>
    </row>
    <row r="8" spans="1:19" ht="15" customHeight="1" x14ac:dyDescent="0.35">
      <c r="A8" s="50">
        <f>'Raw-Data'!A36</f>
        <v>46189</v>
      </c>
      <c r="B8" s="51">
        <f>'Raw-Data'!B36</f>
        <v>114</v>
      </c>
      <c r="C8" s="52">
        <f>'Raw-Data'!D36</f>
        <v>0.88519999999999999</v>
      </c>
      <c r="D8" s="52">
        <f ca="1">IF(NOT($K7),D7,AVERAGE(OFFSET($M7,-1*MAX($L7,N7),0):OFFSET($M7,0,0)))</f>
        <v>0.76690000000000003</v>
      </c>
      <c r="E8" s="53">
        <f ca="1">IF(NOT($K7),E7,IFERROR(STDEV(OFFSET($M7,-1*MAX($L7,N7),0):OFFSET($M7,0,0)),E7))</f>
        <v>0.28713569962650071</v>
      </c>
      <c r="F8" s="52">
        <f t="shared" ca="1" si="0"/>
        <v>0.64810194379580643</v>
      </c>
      <c r="G8" s="54">
        <v>0.9</v>
      </c>
      <c r="H8" s="55">
        <f t="shared" ca="1" si="1"/>
        <v>0.41200031954884675</v>
      </c>
      <c r="I8" s="55">
        <f t="shared" ca="1" si="4"/>
        <v>0</v>
      </c>
      <c r="J8" s="55">
        <f t="shared" ca="1" si="5"/>
        <v>0</v>
      </c>
      <c r="K8" s="51" t="b">
        <f t="array" aca="1" ref="K8" ca="1">IFERROR(OR(ABS(I8)&gt;=4, ABS(J8)&gt;=4),FALSE())</f>
        <v>0</v>
      </c>
      <c r="L8" s="51">
        <f t="shared" ca="1" si="6"/>
        <v>0</v>
      </c>
      <c r="M8" s="52">
        <f t="shared" si="2"/>
        <v>0.88519999999999999</v>
      </c>
      <c r="N8" s="51">
        <f t="shared" si="7"/>
        <v>4</v>
      </c>
      <c r="O8" s="51" t="str">
        <f t="shared" si="3"/>
        <v>No</v>
      </c>
      <c r="P8" s="47"/>
      <c r="R8" s="48" t="s">
        <v>48</v>
      </c>
      <c r="S8" s="57" t="str">
        <f>COUNTIF(O5:O38,"Yes")&amp;"/"&amp;34</f>
        <v>4/34</v>
      </c>
    </row>
    <row r="9" spans="1:19" ht="15" customHeight="1" x14ac:dyDescent="0.35">
      <c r="A9" s="44">
        <f>'Raw-Data'!A35</f>
        <v>46190</v>
      </c>
      <c r="B9" s="5">
        <f>'Raw-Data'!B35</f>
        <v>104</v>
      </c>
      <c r="C9" s="7">
        <f>'Raw-Data'!D35</f>
        <v>0.55840000000000001</v>
      </c>
      <c r="D9" s="7">
        <f ca="1">IF(NOT($K8),D8,AVERAGE(OFFSET($M8,-1*MAX($L8,N8),0):OFFSET($M8,0,0)))</f>
        <v>0.76690000000000003</v>
      </c>
      <c r="E9" s="45">
        <f ca="1">IF(NOT($K8),E8,IFERROR(STDEV(OFFSET($M8,-1*MAX($L8,N8),0):OFFSET($M8,0,0)),E8))</f>
        <v>0.28713569962650071</v>
      </c>
      <c r="F9" s="7">
        <f t="shared" ca="1" si="0"/>
        <v>0.64252156421444462</v>
      </c>
      <c r="G9" s="6">
        <v>0.9</v>
      </c>
      <c r="H9" s="46">
        <f t="shared" ca="1" si="1"/>
        <v>-0.72613750317780712</v>
      </c>
      <c r="I9" s="46">
        <f t="shared" ca="1" si="4"/>
        <v>0</v>
      </c>
      <c r="J9" s="46">
        <f t="shared" ca="1" si="5"/>
        <v>1.226137503177807</v>
      </c>
      <c r="K9" s="5" t="b">
        <f t="array" aca="1" ref="K9" ca="1">IFERROR(OR(ABS(I9)&gt;=4, ABS(J9)&gt;=4),FALSE())</f>
        <v>0</v>
      </c>
      <c r="L9" s="5">
        <f t="shared" ca="1" si="6"/>
        <v>1</v>
      </c>
      <c r="M9" s="7">
        <f t="shared" si="2"/>
        <v>0.55840000000000001</v>
      </c>
      <c r="N9" s="5">
        <f t="shared" si="7"/>
        <v>5</v>
      </c>
      <c r="O9" s="5" t="str">
        <f t="shared" si="3"/>
        <v>No</v>
      </c>
      <c r="P9" s="47"/>
      <c r="R9" s="48" t="s">
        <v>49</v>
      </c>
      <c r="S9" s="58">
        <f>AVERAGE(C5:C38)</f>
        <v>0.72929045928240066</v>
      </c>
    </row>
    <row r="10" spans="1:19" ht="15" customHeight="1" x14ac:dyDescent="0.35">
      <c r="A10" s="50">
        <f>'Raw-Data'!A34</f>
        <v>46191</v>
      </c>
      <c r="B10" s="51">
        <f>'Raw-Data'!B34</f>
        <v>139</v>
      </c>
      <c r="C10" s="52">
        <f>'Raw-Data'!D34</f>
        <v>0.69176258992805761</v>
      </c>
      <c r="D10" s="52">
        <f ca="1">IF(NOT($K9),D9,AVERAGE(OFFSET($M9,-1*MAX($L9,N9),0):OFFSET($M9,0,0)))</f>
        <v>0.76690000000000003</v>
      </c>
      <c r="E10" s="53">
        <f ca="1">IF(NOT($K9),E9,IFERROR(STDEV(OFFSET($M9,-1*MAX($L9,N9),0):OFFSET($M9,0,0)),E9))</f>
        <v>0.28713569962650071</v>
      </c>
      <c r="F10" s="52">
        <f t="shared" ca="1" si="0"/>
        <v>0.65931434698895508</v>
      </c>
      <c r="G10" s="54">
        <v>0.9</v>
      </c>
      <c r="H10" s="55">
        <f t="shared" ca="1" si="1"/>
        <v>-0.26167909517931548</v>
      </c>
      <c r="I10" s="55">
        <f t="shared" ca="1" si="4"/>
        <v>0</v>
      </c>
      <c r="J10" s="55">
        <f t="shared" ca="1" si="5"/>
        <v>1.9878165983571225</v>
      </c>
      <c r="K10" s="51" t="b">
        <f t="array" aca="1" ref="K10" ca="1">IFERROR(OR(ABS(I10)&gt;=4, ABS(J10)&gt;=4),FALSE())</f>
        <v>0</v>
      </c>
      <c r="L10" s="51">
        <f t="shared" ca="1" si="6"/>
        <v>2</v>
      </c>
      <c r="M10" s="52">
        <f t="shared" si="2"/>
        <v>0.69176258992805761</v>
      </c>
      <c r="N10" s="51">
        <f t="shared" si="7"/>
        <v>5</v>
      </c>
      <c r="O10" s="51" t="str">
        <f t="shared" si="3"/>
        <v>No</v>
      </c>
      <c r="P10" s="47"/>
      <c r="R10" s="48" t="s">
        <v>50</v>
      </c>
      <c r="S10" s="58">
        <f>AVERAGE(C5:C38)-G5</f>
        <v>-0.17070954071759936</v>
      </c>
    </row>
    <row r="11" spans="1:19" ht="15" customHeight="1" x14ac:dyDescent="0.35">
      <c r="A11" s="44">
        <f>'Raw-Data'!A33</f>
        <v>46192</v>
      </c>
      <c r="B11" s="5">
        <f>'Raw-Data'!B33</f>
        <v>144</v>
      </c>
      <c r="C11" s="7">
        <f>'Raw-Data'!D33</f>
        <v>0.71839027777777775</v>
      </c>
      <c r="D11" s="7">
        <f ca="1">IF(NOT($K10),D10,AVERAGE(OFFSET($M10,-1*MAX($L10,N10),0):OFFSET($M10,0,0)))</f>
        <v>0.76690000000000003</v>
      </c>
      <c r="E11" s="45">
        <f ca="1">IF(NOT($K10),E10,IFERROR(STDEV(OFFSET($M10,-1*MAX($L10,N10),0):OFFSET($M10,0,0)),E10))</f>
        <v>0.28713569962650071</v>
      </c>
      <c r="F11" s="7">
        <f t="shared" ca="1" si="0"/>
        <v>0.66119865480988427</v>
      </c>
      <c r="G11" s="6">
        <v>0.9</v>
      </c>
      <c r="H11" s="46">
        <f t="shared" ca="1" si="1"/>
        <v>-0.16894354232275041</v>
      </c>
      <c r="I11" s="46">
        <f t="shared" ca="1" si="4"/>
        <v>0</v>
      </c>
      <c r="J11" s="46">
        <f t="shared" ca="1" si="5"/>
        <v>2.6567601406798729</v>
      </c>
      <c r="K11" s="5" t="b">
        <f t="array" aca="1" ref="K11" ca="1">IFERROR(OR(ABS(I11)&gt;=4, ABS(J11)&gt;=4),FALSE())</f>
        <v>0</v>
      </c>
      <c r="L11" s="5">
        <f t="shared" ca="1" si="6"/>
        <v>3</v>
      </c>
      <c r="M11" s="7">
        <f t="shared" si="2"/>
        <v>0.71839027777777775</v>
      </c>
      <c r="N11" s="5">
        <f t="shared" si="7"/>
        <v>5</v>
      </c>
      <c r="O11" s="5" t="str">
        <f t="shared" si="3"/>
        <v>No</v>
      </c>
      <c r="P11" s="47"/>
      <c r="R11" s="48" t="s">
        <v>51</v>
      </c>
      <c r="S11" s="58">
        <f ca="1">D38</f>
        <v>0.70232342803632519</v>
      </c>
    </row>
    <row r="12" spans="1:19" ht="15" customHeight="1" x14ac:dyDescent="0.35">
      <c r="A12" s="50">
        <f>'Raw-Data'!A32</f>
        <v>46193</v>
      </c>
      <c r="B12" s="51">
        <f>'Raw-Data'!B32</f>
        <v>184</v>
      </c>
      <c r="C12" s="52">
        <f>'Raw-Data'!D32</f>
        <v>0.63595108695652169</v>
      </c>
      <c r="D12" s="52">
        <f ca="1">IF(NOT($K11),D11,AVERAGE(OFFSET($M11,-1*MAX($L11,N11),0):OFFSET($M11,0,0)))</f>
        <v>0.76690000000000003</v>
      </c>
      <c r="E12" s="53">
        <f ca="1">IF(NOT($K11),E11,IFERROR(STDEV(OFFSET($M11,-1*MAX($L11,N11),0):OFFSET($M11,0,0)),E11))</f>
        <v>0.28713569962650071</v>
      </c>
      <c r="F12" s="52">
        <f t="shared" ca="1" si="0"/>
        <v>0.67339112138179191</v>
      </c>
      <c r="G12" s="54">
        <v>0.9</v>
      </c>
      <c r="H12" s="55">
        <f t="shared" ca="1" si="1"/>
        <v>-0.45605235856709414</v>
      </c>
      <c r="I12" s="55">
        <f t="shared" ca="1" si="4"/>
        <v>0</v>
      </c>
      <c r="J12" s="55">
        <f t="shared" ca="1" si="5"/>
        <v>3.6128124992469672</v>
      </c>
      <c r="K12" s="51" t="b">
        <f t="array" aca="1" ref="K12" ca="1">IFERROR(OR(ABS(I12)&gt;=4, ABS(J12)&gt;=4),FALSE())</f>
        <v>0</v>
      </c>
      <c r="L12" s="51">
        <f t="shared" ca="1" si="6"/>
        <v>4</v>
      </c>
      <c r="M12" s="52">
        <f t="shared" si="2"/>
        <v>0.63595108695652169</v>
      </c>
      <c r="N12" s="51">
        <f t="shared" si="7"/>
        <v>5</v>
      </c>
      <c r="O12" s="51" t="str">
        <f t="shared" si="3"/>
        <v>No</v>
      </c>
      <c r="P12" s="47"/>
      <c r="R12" s="48" t="s">
        <v>52</v>
      </c>
      <c r="S12" s="58">
        <f ca="1">F38</f>
        <v>0.60280915838490201</v>
      </c>
    </row>
    <row r="13" spans="1:19" ht="15" customHeight="1" x14ac:dyDescent="0.35">
      <c r="A13" s="44">
        <f>'Raw-Data'!A31</f>
        <v>46194</v>
      </c>
      <c r="B13" s="5">
        <f>'Raw-Data'!B31</f>
        <v>168</v>
      </c>
      <c r="C13" s="7">
        <f>'Raw-Data'!D31</f>
        <v>0.66497499999999998</v>
      </c>
      <c r="D13" s="7">
        <f ca="1">IF(NOT($K12),D12,AVERAGE(OFFSET($M12,-1*MAX($L12,N12),0):OFFSET($M12,0,0)))</f>
        <v>0.76690000000000003</v>
      </c>
      <c r="E13" s="45">
        <f ca="1">IF(NOT($K12),E12,IFERROR(STDEV(OFFSET($M12,-1*MAX($L12,N12),0):OFFSET($M12,0,0)),E12))</f>
        <v>0.28713569962650071</v>
      </c>
      <c r="F13" s="7">
        <f t="shared" ca="1" si="0"/>
        <v>0.66903957004999415</v>
      </c>
      <c r="G13" s="6">
        <v>0.9</v>
      </c>
      <c r="H13" s="46">
        <f t="shared" ca="1" si="1"/>
        <v>-0.35497153482684896</v>
      </c>
      <c r="I13" s="46">
        <f t="shared" ca="1" si="4"/>
        <v>0</v>
      </c>
      <c r="J13" s="46">
        <f t="shared" ca="1" si="5"/>
        <v>4.4677840340738157</v>
      </c>
      <c r="K13" s="5" t="b">
        <f t="array" aca="1" ref="K13" ca="1">IFERROR(OR(ABS(I13)&gt;=4, ABS(J13)&gt;=4),FALSE())</f>
        <v>1</v>
      </c>
      <c r="L13" s="5">
        <f t="shared" ca="1" si="6"/>
        <v>5</v>
      </c>
      <c r="M13" s="7">
        <f t="shared" si="2"/>
        <v>0.66497499999999998</v>
      </c>
      <c r="N13" s="5">
        <f t="shared" si="7"/>
        <v>5</v>
      </c>
      <c r="O13" s="5" t="str">
        <f t="shared" si="3"/>
        <v>No</v>
      </c>
      <c r="P13" s="47"/>
    </row>
    <row r="14" spans="1:19" ht="15" customHeight="1" x14ac:dyDescent="0.35">
      <c r="A14" s="50">
        <f>'Raw-Data'!A30</f>
        <v>46195</v>
      </c>
      <c r="B14" s="51">
        <f>'Raw-Data'!B30</f>
        <v>139</v>
      </c>
      <c r="C14" s="52">
        <f>'Raw-Data'!D30</f>
        <v>0.78705035971223025</v>
      </c>
      <c r="D14" s="52">
        <f ca="1">IF(NOT($K13),D13,AVERAGE(OFFSET($M13,-1*MAX($L13,N13),0):OFFSET($M13,0,0)))</f>
        <v>0.69244649244372614</v>
      </c>
      <c r="E14" s="53">
        <f ca="1">IF(NOT($K13),E13,IFERROR(STDEV(OFFSET($M13,-1*MAX($L13,N13),0):OFFSET($M13,0,0)),E13))</f>
        <v>0.10930904653327903</v>
      </c>
      <c r="F14" s="52">
        <f t="shared" ca="1" si="0"/>
        <v>0.57501967066007931</v>
      </c>
      <c r="G14" s="54">
        <v>0.9</v>
      </c>
      <c r="H14" s="55">
        <f t="shared" ca="1" si="1"/>
        <v>0.86547152563170582</v>
      </c>
      <c r="I14" s="55">
        <f t="shared" ca="1" si="4"/>
        <v>0</v>
      </c>
      <c r="J14" s="55">
        <f t="shared" ca="1" si="5"/>
        <v>0</v>
      </c>
      <c r="K14" s="51" t="b">
        <f t="array" aca="1" ref="K14" ca="1">IFERROR(OR(ABS(I14)&gt;=4, ABS(J14)&gt;=4),FALSE())</f>
        <v>0</v>
      </c>
      <c r="L14" s="51">
        <f t="shared" ca="1" si="6"/>
        <v>0</v>
      </c>
      <c r="M14" s="52">
        <f t="shared" si="2"/>
        <v>0.78705035971223025</v>
      </c>
      <c r="N14" s="51">
        <f t="shared" si="7"/>
        <v>5</v>
      </c>
      <c r="O14" s="51" t="str">
        <f t="shared" si="3"/>
        <v>No</v>
      </c>
      <c r="P14" s="47"/>
    </row>
    <row r="15" spans="1:19" ht="15" customHeight="1" x14ac:dyDescent="0.35">
      <c r="A15" s="44">
        <f>'Raw-Data'!A29</f>
        <v>46196</v>
      </c>
      <c r="B15" s="5">
        <f>'Raw-Data'!B29</f>
        <v>173</v>
      </c>
      <c r="C15" s="7">
        <f>'Raw-Data'!D29</f>
        <v>0.47286936416184971</v>
      </c>
      <c r="D15" s="7">
        <f ca="1">IF(NOT($K14),D14,AVERAGE(OFFSET($M14,-1*MAX($L14,N14),0):OFFSET($M14,0,0)))</f>
        <v>0.69244649244372614</v>
      </c>
      <c r="E15" s="45">
        <f ca="1">IF(NOT($K14),E14,IFERROR(STDEV(OFFSET($M14,-1*MAX($L14,N14),0):OFFSET($M14,0,0)),E14))</f>
        <v>0.10930904653327903</v>
      </c>
      <c r="F15" s="7">
        <f t="shared" ca="1" si="0"/>
        <v>0.58718933067525214</v>
      </c>
      <c r="G15" s="6">
        <v>0.9</v>
      </c>
      <c r="H15" s="46">
        <f t="shared" ca="1" si="1"/>
        <v>-2.0087736124843647</v>
      </c>
      <c r="I15" s="46">
        <f t="shared" ca="1" si="4"/>
        <v>0</v>
      </c>
      <c r="J15" s="46">
        <f t="shared" ca="1" si="5"/>
        <v>2.5087736124843647</v>
      </c>
      <c r="K15" s="5" t="b">
        <f t="array" aca="1" ref="K15" ca="1">IFERROR(OR(ABS(I15)&gt;=4, ABS(J15)&gt;=4),FALSE())</f>
        <v>0</v>
      </c>
      <c r="L15" s="5">
        <f t="shared" ca="1" si="6"/>
        <v>1</v>
      </c>
      <c r="M15" s="7">
        <f t="shared" si="2"/>
        <v>0.47286936416184971</v>
      </c>
      <c r="N15" s="5">
        <f t="shared" si="7"/>
        <v>5</v>
      </c>
      <c r="O15" s="5" t="str">
        <f t="shared" si="3"/>
        <v>No</v>
      </c>
      <c r="P15" s="47"/>
    </row>
    <row r="16" spans="1:19" ht="15" customHeight="1" x14ac:dyDescent="0.35">
      <c r="A16" s="50">
        <f>'Raw-Data'!A28</f>
        <v>46197</v>
      </c>
      <c r="B16" s="51">
        <f>'Raw-Data'!B28</f>
        <v>149</v>
      </c>
      <c r="C16" s="52">
        <f>'Raw-Data'!D28</f>
        <v>0.55830872483221483</v>
      </c>
      <c r="D16" s="52">
        <f ca="1">IF(NOT($K15),D15,AVERAGE(OFFSET($M15,-1*MAX($L15,N15),0):OFFSET($M15,0,0)))</f>
        <v>0.69244649244372614</v>
      </c>
      <c r="E16" s="53">
        <f ca="1">IF(NOT($K15),E15,IFERROR(STDEV(OFFSET($M15,-1*MAX($L15,N15),0):OFFSET($M15,0,0)),E15))</f>
        <v>0.10930904653327903</v>
      </c>
      <c r="F16" s="52">
        <f t="shared" ca="1" si="0"/>
        <v>0.57902860008033352</v>
      </c>
      <c r="G16" s="54">
        <v>0.9</v>
      </c>
      <c r="H16" s="55">
        <f t="shared" ca="1" si="1"/>
        <v>-1.2271424174455057</v>
      </c>
      <c r="I16" s="55">
        <f t="shared" ca="1" si="4"/>
        <v>0</v>
      </c>
      <c r="J16" s="55">
        <f t="shared" ca="1" si="5"/>
        <v>4.2359160299298706</v>
      </c>
      <c r="K16" s="51" t="b">
        <f t="array" aca="1" ref="K16" ca="1">IFERROR(OR(ABS(I16)&gt;=4, ABS(J16)&gt;=4),FALSE())</f>
        <v>1</v>
      </c>
      <c r="L16" s="51">
        <f t="shared" ca="1" si="6"/>
        <v>2</v>
      </c>
      <c r="M16" s="52">
        <f t="shared" si="2"/>
        <v>0.55830872483221483</v>
      </c>
      <c r="N16" s="51">
        <f t="shared" si="7"/>
        <v>5</v>
      </c>
      <c r="O16" s="51" t="str">
        <f t="shared" si="3"/>
        <v>No</v>
      </c>
      <c r="P16" s="47"/>
    </row>
    <row r="17" spans="1:16" ht="15" customHeight="1" x14ac:dyDescent="0.35">
      <c r="A17" s="44">
        <f>'Raw-Data'!A27</f>
        <v>46198</v>
      </c>
      <c r="B17" s="5">
        <f>'Raw-Data'!B27</f>
        <v>152</v>
      </c>
      <c r="C17" s="7">
        <f>'Raw-Data'!D27</f>
        <v>0.70304210526315791</v>
      </c>
      <c r="D17" s="7">
        <f ca="1">IF(NOT($K16),D16,AVERAGE(OFFSET($M16,-1*MAX($L16,N16),0):OFFSET($M16,0,0)))</f>
        <v>0.63959080224009912</v>
      </c>
      <c r="E17" s="45">
        <f ca="1">IF(NOT($K16),E16,IFERROR(STDEV(OFFSET($M16,-1*MAX($L16,N16),0):OFFSET($M16,0,0)),E16))</f>
        <v>0.11226227993477518</v>
      </c>
      <c r="F17" s="7">
        <f t="shared" ca="1" si="0"/>
        <v>0.52276238353597626</v>
      </c>
      <c r="G17" s="6">
        <v>0.9</v>
      </c>
      <c r="H17" s="46">
        <f t="shared" ca="1" si="1"/>
        <v>0.56520590050303843</v>
      </c>
      <c r="I17" s="46">
        <f t="shared" ca="1" si="4"/>
        <v>0</v>
      </c>
      <c r="J17" s="46">
        <f t="shared" ca="1" si="5"/>
        <v>0</v>
      </c>
      <c r="K17" s="5" t="b">
        <f t="array" aca="1" ref="K17" ca="1">IFERROR(OR(ABS(I17)&gt;=4, ABS(J17)&gt;=4),FALSE())</f>
        <v>0</v>
      </c>
      <c r="L17" s="5">
        <f t="shared" ca="1" si="6"/>
        <v>0</v>
      </c>
      <c r="M17" s="7">
        <f t="shared" si="2"/>
        <v>0.70304210526315791</v>
      </c>
      <c r="N17" s="5">
        <f t="shared" si="7"/>
        <v>5</v>
      </c>
      <c r="O17" s="5" t="str">
        <f t="shared" si="3"/>
        <v>No</v>
      </c>
      <c r="P17" s="47"/>
    </row>
    <row r="18" spans="1:16" ht="15" customHeight="1" x14ac:dyDescent="0.35">
      <c r="A18" s="50">
        <f>'Raw-Data'!A26</f>
        <v>46199</v>
      </c>
      <c r="B18" s="51">
        <f>'Raw-Data'!B26</f>
        <v>176</v>
      </c>
      <c r="C18" s="52">
        <f>'Raw-Data'!D26</f>
        <v>0.6297272727272728</v>
      </c>
      <c r="D18" s="52">
        <f ca="1">IF(NOT($K17),D17,AVERAGE(OFFSET($M17,-1*MAX($L17,N17),0):OFFSET($M17,0,0)))</f>
        <v>0.63959080224009912</v>
      </c>
      <c r="E18" s="53">
        <f ca="1">IF(NOT($K17),E17,IFERROR(STDEV(OFFSET($M17,-1*MAX($L17,N17),0):OFFSET($M17,0,0)),E17))</f>
        <v>0.11226227993477518</v>
      </c>
      <c r="F18" s="52">
        <f t="shared" ca="1" si="0"/>
        <v>0.53101977209242213</v>
      </c>
      <c r="G18" s="54">
        <v>0.9</v>
      </c>
      <c r="H18" s="55">
        <f t="shared" ca="1" si="1"/>
        <v>-8.7861475097041217E-2</v>
      </c>
      <c r="I18" s="55">
        <f t="shared" ca="1" si="4"/>
        <v>0</v>
      </c>
      <c r="J18" s="55">
        <f t="shared" ca="1" si="5"/>
        <v>0.58786147509704123</v>
      </c>
      <c r="K18" s="51" t="b">
        <f t="array" aca="1" ref="K18" ca="1">IFERROR(OR(ABS(I18)&gt;=4, ABS(J18)&gt;=4),FALSE())</f>
        <v>0</v>
      </c>
      <c r="L18" s="51">
        <f t="shared" ca="1" si="6"/>
        <v>1</v>
      </c>
      <c r="M18" s="52">
        <f t="shared" si="2"/>
        <v>0.6297272727272728</v>
      </c>
      <c r="N18" s="51">
        <f t="shared" si="7"/>
        <v>5</v>
      </c>
      <c r="O18" s="51" t="str">
        <f t="shared" si="3"/>
        <v>No</v>
      </c>
      <c r="P18" s="47"/>
    </row>
    <row r="19" spans="1:16" ht="15" customHeight="1" x14ac:dyDescent="0.35">
      <c r="A19" s="44">
        <f>'Raw-Data'!A25</f>
        <v>46200</v>
      </c>
      <c r="B19" s="5">
        <f>'Raw-Data'!B25</f>
        <v>169</v>
      </c>
      <c r="C19" s="7">
        <f>'Raw-Data'!D25</f>
        <v>0.87272189349112428</v>
      </c>
      <c r="D19" s="7">
        <f ca="1">IF(NOT($K18),D18,AVERAGE(OFFSET($M18,-1*MAX($L18,N18),0):OFFSET($M18,0,0)))</f>
        <v>0.63959080224009912</v>
      </c>
      <c r="E19" s="45">
        <f ca="1">IF(NOT($K18),E18,IFERROR(STDEV(OFFSET($M18,-1*MAX($L18,N18),0):OFFSET($M18,0,0)),E18))</f>
        <v>0.11226227993477518</v>
      </c>
      <c r="F19" s="7">
        <f t="shared" ca="1" si="0"/>
        <v>0.52879407297788095</v>
      </c>
      <c r="G19" s="6">
        <v>0.9</v>
      </c>
      <c r="H19" s="46">
        <f t="shared" ca="1" si="1"/>
        <v>2.0766644984092184</v>
      </c>
      <c r="I19" s="46">
        <f t="shared" ca="1" si="4"/>
        <v>1.5766644984092184</v>
      </c>
      <c r="J19" s="46">
        <f t="shared" ca="1" si="5"/>
        <v>0</v>
      </c>
      <c r="K19" s="5" t="b">
        <f t="array" aca="1" ref="K19" ca="1">IFERROR(OR(ABS(I19)&gt;=4, ABS(J19)&gt;=4),FALSE())</f>
        <v>0</v>
      </c>
      <c r="L19" s="5">
        <f t="shared" ca="1" si="6"/>
        <v>2</v>
      </c>
      <c r="M19" s="7">
        <f t="shared" si="2"/>
        <v>0.87272189349112428</v>
      </c>
      <c r="N19" s="5">
        <f t="shared" si="7"/>
        <v>5</v>
      </c>
      <c r="O19" s="5" t="str">
        <f t="shared" si="3"/>
        <v>No</v>
      </c>
      <c r="P19" s="47"/>
    </row>
    <row r="20" spans="1:16" ht="15" customHeight="1" x14ac:dyDescent="0.35">
      <c r="A20" s="50">
        <f>'Raw-Data'!A24</f>
        <v>46201</v>
      </c>
      <c r="B20" s="51">
        <f>'Raw-Data'!B24</f>
        <v>145</v>
      </c>
      <c r="C20" s="52">
        <f>'Raw-Data'!D24</f>
        <v>0.86660000000000004</v>
      </c>
      <c r="D20" s="52">
        <f ca="1">IF(NOT($K19),D19,AVERAGE(OFFSET($M19,-1*MAX($L19,N19),0):OFFSET($M19,0,0)))</f>
        <v>0.63959080224009912</v>
      </c>
      <c r="E20" s="53">
        <f ca="1">IF(NOT($K19),E19,IFERROR(STDEV(OFFSET($M19,-1*MAX($L19,N19),0):OFFSET($M19,0,0)),E19))</f>
        <v>0.11226227993477518</v>
      </c>
      <c r="F20" s="52">
        <f t="shared" ca="1" si="0"/>
        <v>0.51997562411862353</v>
      </c>
      <c r="G20" s="54">
        <v>0.9</v>
      </c>
      <c r="H20" s="55">
        <f t="shared" ca="1" si="1"/>
        <v>2.022132437465141</v>
      </c>
      <c r="I20" s="55">
        <f t="shared" ca="1" si="4"/>
        <v>3.0987969358743594</v>
      </c>
      <c r="J20" s="55">
        <f t="shared" ca="1" si="5"/>
        <v>0</v>
      </c>
      <c r="K20" s="51" t="b">
        <f t="array" aca="1" ref="K20" ca="1">IFERROR(OR(ABS(I20)&gt;=4, ABS(J20)&gt;=4),FALSE())</f>
        <v>0</v>
      </c>
      <c r="L20" s="51">
        <f t="shared" ca="1" si="6"/>
        <v>3</v>
      </c>
      <c r="M20" s="52">
        <f t="shared" si="2"/>
        <v>0.86660000000000004</v>
      </c>
      <c r="N20" s="51">
        <f t="shared" si="7"/>
        <v>5</v>
      </c>
      <c r="O20" s="51" t="str">
        <f t="shared" si="3"/>
        <v>No</v>
      </c>
      <c r="P20" s="47"/>
    </row>
    <row r="21" spans="1:16" ht="15" customHeight="1" x14ac:dyDescent="0.35">
      <c r="A21" s="44">
        <f>'Raw-Data'!A23</f>
        <v>46202</v>
      </c>
      <c r="B21" s="5">
        <f>'Raw-Data'!B23</f>
        <v>143</v>
      </c>
      <c r="C21" s="7">
        <f>'Raw-Data'!D23</f>
        <v>0.71762657342657343</v>
      </c>
      <c r="D21" s="7">
        <f ca="1">IF(NOT($K20),D20,AVERAGE(OFFSET($M20,-1*MAX($L20,N20),0):OFFSET($M20,0,0)))</f>
        <v>0.63959080224009912</v>
      </c>
      <c r="E21" s="45">
        <f ca="1">IF(NOT($K20),E20,IFERROR(STDEV(OFFSET($M20,-1*MAX($L20,N20),0):OFFSET($M20,0,0)),E20))</f>
        <v>0.11226227993477518</v>
      </c>
      <c r="F21" s="7">
        <f t="shared" ca="1" si="0"/>
        <v>0.51914205878551578</v>
      </c>
      <c r="G21" s="6">
        <v>0.9</v>
      </c>
      <c r="H21" s="46">
        <f t="shared" ca="1" si="1"/>
        <v>0.69512013502499148</v>
      </c>
      <c r="I21" s="46">
        <f t="shared" ca="1" si="4"/>
        <v>3.2939170708993508</v>
      </c>
      <c r="J21" s="46">
        <f t="shared" ca="1" si="5"/>
        <v>0</v>
      </c>
      <c r="K21" s="5" t="b">
        <f t="array" aca="1" ref="K21" ca="1">IFERROR(OR(ABS(I21)&gt;=4, ABS(J21)&gt;=4),FALSE())</f>
        <v>0</v>
      </c>
      <c r="L21" s="5">
        <f t="shared" ca="1" si="6"/>
        <v>4</v>
      </c>
      <c r="M21" s="7">
        <f t="shared" si="2"/>
        <v>0.71762657342657343</v>
      </c>
      <c r="N21" s="5">
        <f t="shared" si="7"/>
        <v>5</v>
      </c>
      <c r="O21" s="5" t="str">
        <f t="shared" si="3"/>
        <v>No</v>
      </c>
      <c r="P21" s="47"/>
    </row>
    <row r="22" spans="1:16" ht="15" customHeight="1" x14ac:dyDescent="0.35">
      <c r="A22" s="50">
        <f>'Raw-Data'!A22</f>
        <v>46203</v>
      </c>
      <c r="B22" s="51">
        <f>'Raw-Data'!B22</f>
        <v>156</v>
      </c>
      <c r="C22" s="52">
        <f>'Raw-Data'!D22</f>
        <v>0.95216538461538469</v>
      </c>
      <c r="D22" s="52">
        <f ca="1">IF(NOT($K21),D21,AVERAGE(OFFSET($M21,-1*MAX($L21,N21),0):OFFSET($M21,0,0)))</f>
        <v>0.63959080224009912</v>
      </c>
      <c r="E22" s="53">
        <f ca="1">IF(NOT($K21),E21,IFERROR(STDEV(OFFSET($M21,-1*MAX($L21,N21),0):OFFSET($M21,0,0)),E21))</f>
        <v>0.11226227993477518</v>
      </c>
      <c r="F22" s="52">
        <f t="shared" ca="1" si="0"/>
        <v>0.52426991016149227</v>
      </c>
      <c r="G22" s="54">
        <v>0.9</v>
      </c>
      <c r="H22" s="55">
        <f t="shared" ca="1" si="1"/>
        <v>2.7843241964878374</v>
      </c>
      <c r="I22" s="55">
        <f t="shared" ca="1" si="4"/>
        <v>5.5782412673871882</v>
      </c>
      <c r="J22" s="55">
        <f t="shared" ca="1" si="5"/>
        <v>0</v>
      </c>
      <c r="K22" s="51" t="b">
        <f t="array" aca="1" ref="K22" ca="1">IFERROR(OR(ABS(I22)&gt;=4, ABS(J22)&gt;=4),FALSE())</f>
        <v>1</v>
      </c>
      <c r="L22" s="51">
        <f t="shared" ca="1" si="6"/>
        <v>5</v>
      </c>
      <c r="M22" s="52">
        <f t="shared" si="2"/>
        <v>0.95216538461538469</v>
      </c>
      <c r="N22" s="51">
        <f t="shared" si="7"/>
        <v>5</v>
      </c>
      <c r="O22" s="51" t="str">
        <f t="shared" si="3"/>
        <v>Yes</v>
      </c>
      <c r="P22" s="47"/>
    </row>
    <row r="23" spans="1:16" ht="15" customHeight="1" x14ac:dyDescent="0.35">
      <c r="A23" s="44">
        <f>'Raw-Data'!A21</f>
        <v>46204</v>
      </c>
      <c r="B23" s="5">
        <f>'Raw-Data'!B21</f>
        <v>158</v>
      </c>
      <c r="C23" s="7">
        <f>'Raw-Data'!D21</f>
        <v>0.67670632911392403</v>
      </c>
      <c r="D23" s="7">
        <f ca="1">IF(NOT($K22),D22,AVERAGE(OFFSET($M22,-1*MAX($L22,N22),0):OFFSET($M22,0,0)))</f>
        <v>0.79031387158725208</v>
      </c>
      <c r="E23" s="45">
        <f ca="1">IF(NOT($K22),E22,IFERROR(STDEV(OFFSET($M22,-1*MAX($L22,N22),0):OFFSET($M22,0,0)),E22))</f>
        <v>0.12449452034242632</v>
      </c>
      <c r="F23" s="7">
        <f t="shared" ca="1" si="0"/>
        <v>0.69315614051652719</v>
      </c>
      <c r="G23" s="6">
        <v>0.9</v>
      </c>
      <c r="H23" s="46">
        <f t="shared" ca="1" si="1"/>
        <v>-0.91255054568543836</v>
      </c>
      <c r="I23" s="46">
        <f t="shared" ca="1" si="4"/>
        <v>0</v>
      </c>
      <c r="J23" s="46">
        <f t="shared" ca="1" si="5"/>
        <v>0</v>
      </c>
      <c r="K23" s="5" t="b">
        <f t="array" aca="1" ref="K23" ca="1">IFERROR(OR(ABS(I23)&gt;=4, ABS(J23)&gt;=4),FALSE())</f>
        <v>0</v>
      </c>
      <c r="L23" s="5">
        <f t="shared" ca="1" si="6"/>
        <v>0</v>
      </c>
      <c r="M23" s="7">
        <f t="shared" si="2"/>
        <v>0.67670632911392403</v>
      </c>
      <c r="N23" s="5">
        <f t="shared" si="7"/>
        <v>5</v>
      </c>
      <c r="O23" s="5" t="str">
        <f t="shared" si="3"/>
        <v>No</v>
      </c>
      <c r="P23" s="47"/>
    </row>
    <row r="24" spans="1:16" ht="15" customHeight="1" x14ac:dyDescent="0.35">
      <c r="A24" s="50">
        <f>'Raw-Data'!A20</f>
        <v>46205</v>
      </c>
      <c r="B24" s="51">
        <f>'Raw-Data'!B20</f>
        <v>124</v>
      </c>
      <c r="C24" s="52">
        <f>'Raw-Data'!D20</f>
        <v>0.66485806451612894</v>
      </c>
      <c r="D24" s="52">
        <f ca="1">IF(NOT($K23),D23,AVERAGE(OFFSET($M23,-1*MAX($L23,N23),0):OFFSET($M23,0,0)))</f>
        <v>0.79031387158725208</v>
      </c>
      <c r="E24" s="53">
        <f ca="1">IF(NOT($K23),E23,IFERROR(STDEV(OFFSET($M23,-1*MAX($L23,N23),0):OFFSET($M23,0,0)),E23))</f>
        <v>0.12449452034242632</v>
      </c>
      <c r="F24" s="52">
        <f t="shared" ca="1" si="0"/>
        <v>0.68064204794683658</v>
      </c>
      <c r="G24" s="54">
        <v>0.9</v>
      </c>
      <c r="H24" s="55">
        <f t="shared" ca="1" si="1"/>
        <v>-1.0077215183933619</v>
      </c>
      <c r="I24" s="55">
        <f t="shared" ca="1" si="4"/>
        <v>0</v>
      </c>
      <c r="J24" s="55">
        <f t="shared" ca="1" si="5"/>
        <v>1.5077215183933619</v>
      </c>
      <c r="K24" s="51" t="b">
        <f t="array" aca="1" ref="K24" ca="1">IFERROR(OR(ABS(I24)&gt;=4, ABS(J24)&gt;=4),FALSE())</f>
        <v>0</v>
      </c>
      <c r="L24" s="51">
        <f t="shared" ca="1" si="6"/>
        <v>1</v>
      </c>
      <c r="M24" s="52">
        <f t="shared" si="2"/>
        <v>0.66485806451612894</v>
      </c>
      <c r="N24" s="51">
        <f t="shared" si="7"/>
        <v>5</v>
      </c>
      <c r="O24" s="51" t="str">
        <f t="shared" si="3"/>
        <v>No</v>
      </c>
      <c r="P24" s="47"/>
    </row>
    <row r="25" spans="1:16" ht="15" customHeight="1" x14ac:dyDescent="0.35">
      <c r="A25" s="44">
        <f>'Raw-Data'!A19</f>
        <v>46206</v>
      </c>
      <c r="B25" s="5">
        <f>'Raw-Data'!B19</f>
        <v>172</v>
      </c>
      <c r="C25" s="7">
        <f>'Raw-Data'!D19</f>
        <v>0.65944651162790702</v>
      </c>
      <c r="D25" s="7">
        <f ca="1">IF(NOT($K24),D24,AVERAGE(OFFSET($M24,-1*MAX($L24,N24),0):OFFSET($M24,0,0)))</f>
        <v>0.79031387158725208</v>
      </c>
      <c r="E25" s="45">
        <f ca="1">IF(NOT($K24),E24,IFERROR(STDEV(OFFSET($M24,-1*MAX($L24,N24),0):OFFSET($M24,0,0)),E24))</f>
        <v>0.12449452034242632</v>
      </c>
      <c r="F25" s="7">
        <f t="shared" ca="1" si="0"/>
        <v>0.69719414671164881</v>
      </c>
      <c r="G25" s="6">
        <v>0.9</v>
      </c>
      <c r="H25" s="46">
        <f t="shared" ca="1" si="1"/>
        <v>-1.0511897198317648</v>
      </c>
      <c r="I25" s="46">
        <f t="shared" ca="1" si="4"/>
        <v>0</v>
      </c>
      <c r="J25" s="46">
        <f t="shared" ca="1" si="5"/>
        <v>3.0589112382251269</v>
      </c>
      <c r="K25" s="5" t="b">
        <f t="array" aca="1" ref="K25" ca="1">IFERROR(OR(ABS(I25)&gt;=4, ABS(J25)&gt;=4),FALSE())</f>
        <v>0</v>
      </c>
      <c r="L25" s="5">
        <f t="shared" ca="1" si="6"/>
        <v>2</v>
      </c>
      <c r="M25" s="7">
        <f t="shared" si="2"/>
        <v>0.65944651162790702</v>
      </c>
      <c r="N25" s="5">
        <f t="shared" si="7"/>
        <v>5</v>
      </c>
      <c r="O25" s="5" t="str">
        <f t="shared" si="3"/>
        <v>No</v>
      </c>
      <c r="P25" s="47"/>
    </row>
    <row r="26" spans="1:16" ht="15" customHeight="1" x14ac:dyDescent="0.35">
      <c r="A26" s="50">
        <f>'Raw-Data'!A18</f>
        <v>46207</v>
      </c>
      <c r="B26" s="51">
        <f>'Raw-Data'!B18</f>
        <v>183</v>
      </c>
      <c r="C26" s="52">
        <f>'Raw-Data'!D18</f>
        <v>0.5431377049180327</v>
      </c>
      <c r="D26" s="52">
        <f ca="1">IF(NOT($K25),D25,AVERAGE(OFFSET($M25,-1*MAX($L25,N25),0):OFFSET($M25,0,0)))</f>
        <v>0.79031387158725208</v>
      </c>
      <c r="E26" s="53">
        <f ca="1">IF(NOT($K25),E25,IFERROR(STDEV(OFFSET($M25,-1*MAX($L25,N25),0):OFFSET($M25,0,0)),E25))</f>
        <v>0.12449452034242632</v>
      </c>
      <c r="F26" s="52">
        <f t="shared" ca="1" si="0"/>
        <v>0.70003619721515831</v>
      </c>
      <c r="G26" s="54">
        <v>0.9</v>
      </c>
      <c r="H26" s="55">
        <f t="shared" ca="1" si="1"/>
        <v>-1.9854381220101343</v>
      </c>
      <c r="I26" s="55">
        <f t="shared" ca="1" si="4"/>
        <v>0</v>
      </c>
      <c r="J26" s="55">
        <f t="shared" ca="1" si="5"/>
        <v>5.5443493602352607</v>
      </c>
      <c r="K26" s="51" t="b">
        <f t="array" aca="1" ref="K26" ca="1">IFERROR(OR(ABS(I26)&gt;=4, ABS(J26)&gt;=4),FALSE())</f>
        <v>1</v>
      </c>
      <c r="L26" s="51">
        <f t="shared" ca="1" si="6"/>
        <v>3</v>
      </c>
      <c r="M26" s="52">
        <f t="shared" si="2"/>
        <v>0.5431377049180327</v>
      </c>
      <c r="N26" s="51">
        <f t="shared" si="7"/>
        <v>5</v>
      </c>
      <c r="O26" s="51" t="str">
        <f t="shared" si="3"/>
        <v>No</v>
      </c>
      <c r="P26" s="47"/>
    </row>
    <row r="27" spans="1:16" ht="15" customHeight="1" x14ac:dyDescent="0.35">
      <c r="A27" s="44">
        <f>'Raw-Data'!A17</f>
        <v>46208</v>
      </c>
      <c r="B27" s="5">
        <f>'Raw-Data'!B17</f>
        <v>197</v>
      </c>
      <c r="C27" s="7">
        <f>'Raw-Data'!D17</f>
        <v>0.51434517766497456</v>
      </c>
      <c r="D27" s="7">
        <f ca="1">IF(NOT($K26),D26,AVERAGE(OFFSET($M26,-1*MAX($L26,N26),0):OFFSET($M26,0,0)))</f>
        <v>0.70232342803632519</v>
      </c>
      <c r="E27" s="45">
        <f ca="1">IF(NOT($K26),E26,IFERROR(STDEV(OFFSET($M26,-1*MAX($L26,N26),0):OFFSET($M26,0,0)),E26))</f>
        <v>0.13556814017487756</v>
      </c>
      <c r="F27" s="7">
        <f t="shared" ca="1" si="0"/>
        <v>0.60459316955728992</v>
      </c>
      <c r="G27" s="6">
        <v>0.9</v>
      </c>
      <c r="H27" s="46">
        <f t="shared" ca="1" si="1"/>
        <v>-1.3865960699089483</v>
      </c>
      <c r="I27" s="46">
        <f t="shared" ca="1" si="4"/>
        <v>0</v>
      </c>
      <c r="J27" s="46">
        <f t="shared" ca="1" si="5"/>
        <v>0</v>
      </c>
      <c r="K27" s="5" t="b">
        <f t="array" aca="1" ref="K27" ca="1">IFERROR(OR(ABS(I27)&gt;=4, ABS(J27)&gt;=4),FALSE())</f>
        <v>0</v>
      </c>
      <c r="L27" s="5">
        <f t="shared" ca="1" si="6"/>
        <v>0</v>
      </c>
      <c r="M27" s="7">
        <f t="shared" si="2"/>
        <v>0.51434517766497456</v>
      </c>
      <c r="N27" s="5">
        <f t="shared" si="7"/>
        <v>5</v>
      </c>
      <c r="O27" s="5" t="str">
        <f t="shared" si="3"/>
        <v>No</v>
      </c>
      <c r="P27" s="47"/>
    </row>
    <row r="28" spans="1:16" ht="15" customHeight="1" x14ac:dyDescent="0.35">
      <c r="A28" s="50">
        <f>'Raw-Data'!A16</f>
        <v>46209</v>
      </c>
      <c r="B28" s="51">
        <f>'Raw-Data'!B16</f>
        <v>142</v>
      </c>
      <c r="C28" s="52">
        <f>'Raw-Data'!D16</f>
        <v>0.72235633802816901</v>
      </c>
      <c r="D28" s="52">
        <f ca="1">IF(NOT($K27),D27,AVERAGE(OFFSET($M27,-1*MAX($L27,N27),0):OFFSET($M27,0,0)))</f>
        <v>0.70232342803632519</v>
      </c>
      <c r="E28" s="53">
        <f ca="1">IF(NOT($K27),E27,IFERROR(STDEV(OFFSET($M27,-1*MAX($L27,N27),0):OFFSET($M27,0,0)),E27))</f>
        <v>0.13556814017487756</v>
      </c>
      <c r="F28" s="52">
        <f t="shared" ca="1" si="0"/>
        <v>0.58721212017018809</v>
      </c>
      <c r="G28" s="54">
        <v>0.9</v>
      </c>
      <c r="H28" s="55">
        <f t="shared" ca="1" si="1"/>
        <v>0.14777004365481561</v>
      </c>
      <c r="I28" s="55">
        <f t="shared" ca="1" si="4"/>
        <v>0</v>
      </c>
      <c r="J28" s="55">
        <f t="shared" ca="1" si="5"/>
        <v>0.35222995634518439</v>
      </c>
      <c r="K28" s="51" t="b">
        <f t="array" aca="1" ref="K28" ca="1">IFERROR(OR(ABS(I28)&gt;=4, ABS(J28)&gt;=4),FALSE())</f>
        <v>0</v>
      </c>
      <c r="L28" s="51">
        <f t="shared" ca="1" si="6"/>
        <v>1</v>
      </c>
      <c r="M28" s="52">
        <f t="shared" si="2"/>
        <v>0.72235633802816901</v>
      </c>
      <c r="N28" s="51">
        <f t="shared" si="7"/>
        <v>5</v>
      </c>
      <c r="O28" s="51" t="str">
        <f t="shared" si="3"/>
        <v>No</v>
      </c>
      <c r="P28" s="47"/>
    </row>
    <row r="29" spans="1:16" ht="15" customHeight="1" x14ac:dyDescent="0.35">
      <c r="A29" s="44">
        <f>'Raw-Data'!A15</f>
        <v>46210</v>
      </c>
      <c r="B29" s="5">
        <f>'Raw-Data'!B15</f>
        <v>156</v>
      </c>
      <c r="C29" s="7">
        <f>'Raw-Data'!D15</f>
        <v>0.73415705128205122</v>
      </c>
      <c r="D29" s="7">
        <f ca="1">IF(NOT($K28),D28,AVERAGE(OFFSET($M28,-1*MAX($L28,N28),0):OFFSET($M28,0,0)))</f>
        <v>0.70232342803632519</v>
      </c>
      <c r="E29" s="45">
        <f ca="1">IF(NOT($K28),E28,IFERROR(STDEV(OFFSET($M28,-1*MAX($L28,N28),0):OFFSET($M28,0,0)),E28))</f>
        <v>0.13556814017487756</v>
      </c>
      <c r="F29" s="7">
        <f t="shared" ca="1" si="0"/>
        <v>0.59249876958522085</v>
      </c>
      <c r="G29" s="6">
        <v>0.9</v>
      </c>
      <c r="H29" s="46">
        <f t="shared" ca="1" si="1"/>
        <v>0.2348164045376879</v>
      </c>
      <c r="I29" s="46">
        <f t="shared" ca="1" si="4"/>
        <v>0</v>
      </c>
      <c r="J29" s="46">
        <f t="shared" ca="1" si="5"/>
        <v>0.61741355180749646</v>
      </c>
      <c r="K29" s="5" t="b">
        <f t="array" aca="1" ref="K29" ca="1">IFERROR(OR(ABS(I29)&gt;=4, ABS(J29)&gt;=4),FALSE())</f>
        <v>0</v>
      </c>
      <c r="L29" s="5">
        <f t="shared" ca="1" si="6"/>
        <v>2</v>
      </c>
      <c r="M29" s="7">
        <f t="shared" si="2"/>
        <v>0.73415705128205122</v>
      </c>
      <c r="N29" s="5">
        <f t="shared" si="7"/>
        <v>5</v>
      </c>
      <c r="O29" s="5" t="str">
        <f t="shared" si="3"/>
        <v>No</v>
      </c>
      <c r="P29" s="47"/>
    </row>
    <row r="30" spans="1:16" ht="15" customHeight="1" x14ac:dyDescent="0.35">
      <c r="A30" s="50">
        <f>'Raw-Data'!A14</f>
        <v>46211</v>
      </c>
      <c r="B30" s="51">
        <f>'Raw-Data'!B14</f>
        <v>160</v>
      </c>
      <c r="C30" s="52">
        <f>'Raw-Data'!D14</f>
        <v>0.79857999999999996</v>
      </c>
      <c r="D30" s="52">
        <f ca="1">IF(NOT($K29),D29,AVERAGE(OFFSET($M29,-1*MAX($L29,N29),0):OFFSET($M29,0,0)))</f>
        <v>0.70232342803632519</v>
      </c>
      <c r="E30" s="53">
        <f ca="1">IF(NOT($K29),E29,IFERROR(STDEV(OFFSET($M29,-1*MAX($L29,N29),0):OFFSET($M29,0,0)),E29))</f>
        <v>0.13556814017487756</v>
      </c>
      <c r="F30" s="52">
        <f t="shared" ca="1" si="0"/>
        <v>0.59388026682362272</v>
      </c>
      <c r="G30" s="54">
        <v>0.9</v>
      </c>
      <c r="H30" s="55">
        <f t="shared" ca="1" si="1"/>
        <v>0.71002354859709349</v>
      </c>
      <c r="I30" s="55">
        <f t="shared" ca="1" si="4"/>
        <v>0.21002354859709349</v>
      </c>
      <c r="J30" s="55">
        <f t="shared" ca="1" si="5"/>
        <v>0.40739000321040297</v>
      </c>
      <c r="K30" s="51" t="b">
        <f t="array" aca="1" ref="K30" ca="1">IFERROR(OR(ABS(I30)&gt;=4, ABS(J30)&gt;=4),FALSE())</f>
        <v>0</v>
      </c>
      <c r="L30" s="51">
        <f t="shared" ca="1" si="6"/>
        <v>3</v>
      </c>
      <c r="M30" s="52">
        <f t="shared" si="2"/>
        <v>0.79857999999999996</v>
      </c>
      <c r="N30" s="51">
        <f t="shared" si="7"/>
        <v>5</v>
      </c>
      <c r="O30" s="51" t="str">
        <f t="shared" si="3"/>
        <v>No</v>
      </c>
      <c r="P30" s="47"/>
    </row>
    <row r="31" spans="1:16" ht="15" customHeight="1" x14ac:dyDescent="0.35">
      <c r="A31" s="44">
        <f>'Raw-Data'!A13</f>
        <v>46212</v>
      </c>
      <c r="B31" s="5">
        <f>'Raw-Data'!B13</f>
        <v>143</v>
      </c>
      <c r="C31" s="7">
        <f>'Raw-Data'!D13</f>
        <v>0.83901748251748254</v>
      </c>
      <c r="D31" s="7">
        <f ca="1">IF(NOT($K30),D30,AVERAGE(OFFSET($M30,-1*MAX($L30,N30),0):OFFSET($M30,0,0)))</f>
        <v>0.70232342803632519</v>
      </c>
      <c r="E31" s="45">
        <f ca="1">IF(NOT($K30),E30,IFERROR(STDEV(OFFSET($M30,-1*MAX($L30,N30),0):OFFSET($M30,0,0)),E30))</f>
        <v>0.13556814017487756</v>
      </c>
      <c r="F31" s="7">
        <f t="shared" ca="1" si="0"/>
        <v>0.58761531338050499</v>
      </c>
      <c r="G31" s="6">
        <v>0.9</v>
      </c>
      <c r="H31" s="46">
        <f t="shared" ca="1" si="1"/>
        <v>1.0083051541817081</v>
      </c>
      <c r="I31" s="46">
        <f t="shared" ca="1" si="4"/>
        <v>0.71832870277880145</v>
      </c>
      <c r="J31" s="46">
        <f t="shared" ca="1" si="5"/>
        <v>0</v>
      </c>
      <c r="K31" s="5" t="b">
        <f t="array" aca="1" ref="K31" ca="1">IFERROR(OR(ABS(I31)&gt;=4, ABS(J31)&gt;=4),FALSE())</f>
        <v>0</v>
      </c>
      <c r="L31" s="5">
        <f t="shared" ca="1" si="6"/>
        <v>4</v>
      </c>
      <c r="M31" s="7">
        <f t="shared" si="2"/>
        <v>0.83901748251748254</v>
      </c>
      <c r="N31" s="5">
        <f t="shared" si="7"/>
        <v>5</v>
      </c>
      <c r="O31" s="5" t="str">
        <f t="shared" si="3"/>
        <v>No</v>
      </c>
      <c r="P31" s="47"/>
    </row>
    <row r="32" spans="1:16" ht="15" customHeight="1" x14ac:dyDescent="0.35">
      <c r="A32" s="50">
        <f>'Raw-Data'!A12</f>
        <v>46213</v>
      </c>
      <c r="B32" s="51">
        <f>'Raw-Data'!B12</f>
        <v>179</v>
      </c>
      <c r="C32" s="52">
        <f>'Raw-Data'!D12</f>
        <v>0.93012737430167591</v>
      </c>
      <c r="D32" s="52">
        <f ca="1">IF(NOT($K31),D31,AVERAGE(OFFSET($M31,-1*MAX($L31,N31),0):OFFSET($M31,0,0)))</f>
        <v>0.70232342803632519</v>
      </c>
      <c r="E32" s="53">
        <f ca="1">IF(NOT($K31),E31,IFERROR(STDEV(OFFSET($M31,-1*MAX($L31,N31),0):OFFSET($M31,0,0)),E31))</f>
        <v>0.13556814017487756</v>
      </c>
      <c r="F32" s="52">
        <f t="shared" ca="1" si="0"/>
        <v>0.5997970429813031</v>
      </c>
      <c r="G32" s="54">
        <v>0.9</v>
      </c>
      <c r="H32" s="55">
        <f t="shared" ca="1" si="1"/>
        <v>1.6803649144370691</v>
      </c>
      <c r="I32" s="55">
        <f t="shared" ca="1" si="4"/>
        <v>1.8986936172158706</v>
      </c>
      <c r="J32" s="55">
        <f t="shared" ca="1" si="5"/>
        <v>0</v>
      </c>
      <c r="K32" s="51" t="b">
        <f t="array" aca="1" ref="K32" ca="1">IFERROR(OR(ABS(I32)&gt;=4, ABS(J32)&gt;=4),FALSE())</f>
        <v>0</v>
      </c>
      <c r="L32" s="51">
        <f t="shared" ca="1" si="6"/>
        <v>5</v>
      </c>
      <c r="M32" s="52">
        <f t="shared" si="2"/>
        <v>0.93012737430167591</v>
      </c>
      <c r="N32" s="51">
        <f t="shared" si="7"/>
        <v>5</v>
      </c>
      <c r="O32" s="51" t="str">
        <f t="shared" si="3"/>
        <v>Yes</v>
      </c>
      <c r="P32" s="47"/>
    </row>
    <row r="33" spans="1:16" ht="15" customHeight="1" x14ac:dyDescent="0.35">
      <c r="A33" s="44">
        <f>'Raw-Data'!A11</f>
        <v>46214</v>
      </c>
      <c r="B33" s="5">
        <f>'Raw-Data'!B11</f>
        <v>184</v>
      </c>
      <c r="C33" s="7">
        <f>'Raw-Data'!D11</f>
        <v>0.96843478260869564</v>
      </c>
      <c r="D33" s="7">
        <f ca="1">IF(NOT($K32),D32,AVERAGE(OFFSET($M32,-1*MAX($L32,N32),0):OFFSET($M32,0,0)))</f>
        <v>0.70232342803632519</v>
      </c>
      <c r="E33" s="45">
        <f ca="1">IF(NOT($K32),E32,IFERROR(STDEV(OFFSET($M32,-1*MAX($L32,N32),0):OFFSET($M32,0,0)),E32))</f>
        <v>0.13556814017487756</v>
      </c>
      <c r="F33" s="7">
        <f t="shared" ca="1" si="0"/>
        <v>0.60119965878470061</v>
      </c>
      <c r="G33" s="6">
        <v>0.9</v>
      </c>
      <c r="H33" s="46">
        <f t="shared" ca="1" si="1"/>
        <v>1.9629343164927784</v>
      </c>
      <c r="I33" s="46">
        <f t="shared" ca="1" si="4"/>
        <v>3.361627933708649</v>
      </c>
      <c r="J33" s="46">
        <f t="shared" ca="1" si="5"/>
        <v>0</v>
      </c>
      <c r="K33" s="5" t="b">
        <f t="array" aca="1" ref="K33" ca="1">IFERROR(OR(ABS(I33)&gt;=4, ABS(J33)&gt;=4),FALSE())</f>
        <v>0</v>
      </c>
      <c r="L33" s="5">
        <f t="shared" ca="1" si="6"/>
        <v>6</v>
      </c>
      <c r="M33" s="7">
        <f t="shared" si="2"/>
        <v>0.96843478260869564</v>
      </c>
      <c r="N33" s="5">
        <f t="shared" si="7"/>
        <v>5</v>
      </c>
      <c r="O33" s="5" t="str">
        <f t="shared" si="3"/>
        <v>Yes</v>
      </c>
      <c r="P33" s="47"/>
    </row>
    <row r="34" spans="1:16" ht="15" customHeight="1" x14ac:dyDescent="0.35">
      <c r="A34" s="50">
        <f>'Raw-Data'!A10</f>
        <v>46215</v>
      </c>
      <c r="B34" s="51">
        <f>'Raw-Data'!B10</f>
        <v>182</v>
      </c>
      <c r="C34" s="52">
        <f>'Raw-Data'!D10</f>
        <v>0.73088296703296696</v>
      </c>
      <c r="D34" s="52">
        <f ca="1">IF(NOT($K33),D33,AVERAGE(OFFSET($M33,-1*MAX($L33,N33),0):OFFSET($M33,0,0)))</f>
        <v>0.70232342803632519</v>
      </c>
      <c r="E34" s="53">
        <f ca="1">IF(NOT($K33),E33,IFERROR(STDEV(OFFSET($M33,-1*MAX($L33,N33),0):OFFSET($M33,0,0)),E33))</f>
        <v>0.13556814017487756</v>
      </c>
      <c r="F34" s="52">
        <f t="shared" ca="1" si="0"/>
        <v>0.60064555179163737</v>
      </c>
      <c r="G34" s="54">
        <v>0.9</v>
      </c>
      <c r="H34" s="55">
        <f t="shared" ca="1" si="1"/>
        <v>0.21066556611163276</v>
      </c>
      <c r="I34" s="55">
        <f t="shared" ca="1" si="4"/>
        <v>3.0722934998202818</v>
      </c>
      <c r="J34" s="55">
        <f t="shared" ca="1" si="5"/>
        <v>0.28933443388836722</v>
      </c>
      <c r="K34" s="51" t="b">
        <f t="array" aca="1" ref="K34" ca="1">IFERROR(OR(ABS(I34)&gt;=4, ABS(J34)&gt;=4),FALSE())</f>
        <v>0</v>
      </c>
      <c r="L34" s="51">
        <f t="shared" ca="1" si="6"/>
        <v>7</v>
      </c>
      <c r="M34" s="52">
        <f t="shared" si="2"/>
        <v>0.73088296703296696</v>
      </c>
      <c r="N34" s="51">
        <f t="shared" si="7"/>
        <v>5</v>
      </c>
      <c r="O34" s="51" t="str">
        <f t="shared" si="3"/>
        <v>No</v>
      </c>
      <c r="P34" s="47"/>
    </row>
    <row r="35" spans="1:16" ht="15" customHeight="1" x14ac:dyDescent="0.35">
      <c r="A35" s="44">
        <f>'Raw-Data'!A9</f>
        <v>46216</v>
      </c>
      <c r="B35" s="5">
        <f>'Raw-Data'!B9</f>
        <v>191</v>
      </c>
      <c r="C35" s="7">
        <f>'Raw-Data'!D9</f>
        <v>0.6192670157068062</v>
      </c>
      <c r="D35" s="7">
        <f ca="1">IF(NOT($K34),D34,AVERAGE(OFFSET($M34,-1*MAX($L34,N34),0):OFFSET($M34,0,0)))</f>
        <v>0.70232342803632519</v>
      </c>
      <c r="E35" s="45">
        <f ca="1">IF(NOT($K34),E34,IFERROR(STDEV(OFFSET($M34,-1*MAX($L34,N34),0):OFFSET($M34,0,0)),E34))</f>
        <v>0.13556814017487756</v>
      </c>
      <c r="F35" s="7">
        <f t="shared" ca="1" si="0"/>
        <v>0.60307000881953754</v>
      </c>
      <c r="G35" s="6">
        <v>0.9</v>
      </c>
      <c r="H35" s="46">
        <f t="shared" ca="1" si="1"/>
        <v>-0.6126543612856199</v>
      </c>
      <c r="I35" s="46">
        <f t="shared" ca="1" si="4"/>
        <v>1.9596391385346621</v>
      </c>
      <c r="J35" s="46">
        <f t="shared" ca="1" si="5"/>
        <v>1.4019887951739871</v>
      </c>
      <c r="K35" s="5" t="b">
        <f t="array" aca="1" ref="K35" ca="1">IFERROR(OR(ABS(I35)&gt;=4, ABS(J35)&gt;=4),FALSE())</f>
        <v>0</v>
      </c>
      <c r="L35" s="5">
        <f t="shared" ca="1" si="6"/>
        <v>8</v>
      </c>
      <c r="M35" s="7">
        <f t="shared" si="2"/>
        <v>0.6192670157068062</v>
      </c>
      <c r="N35" s="5">
        <f t="shared" si="7"/>
        <v>5</v>
      </c>
      <c r="O35" s="5" t="str">
        <f t="shared" si="3"/>
        <v>No</v>
      </c>
      <c r="P35" s="47"/>
    </row>
    <row r="36" spans="1:16" ht="15" customHeight="1" x14ac:dyDescent="0.35">
      <c r="A36" s="50">
        <f>'Raw-Data'!A8</f>
        <v>46217</v>
      </c>
      <c r="B36" s="51">
        <f>'Raw-Data'!B8</f>
        <v>194</v>
      </c>
      <c r="C36" s="52">
        <f>'Raw-Data'!D8</f>
        <v>0.83635051546391759</v>
      </c>
      <c r="D36" s="52">
        <f ca="1">IF(NOT($K35),D35,AVERAGE(OFFSET($M35,-1*MAX($L35,N35),0):OFFSET($M35,0,0)))</f>
        <v>0.70232342803632519</v>
      </c>
      <c r="E36" s="53">
        <f ca="1">IF(NOT($K35),E35,IFERROR(STDEV(OFFSET($M35,-1*MAX($L35,N35),0):OFFSET($M35,0,0)),E35))</f>
        <v>0.13556814017487756</v>
      </c>
      <c r="F36" s="52">
        <f t="shared" ca="1" si="0"/>
        <v>0.60384042217046741</v>
      </c>
      <c r="G36" s="54">
        <v>0.9</v>
      </c>
      <c r="H36" s="55">
        <f t="shared" ca="1" si="1"/>
        <v>0.98863263341005292</v>
      </c>
      <c r="I36" s="55">
        <f t="shared" ca="1" si="4"/>
        <v>2.4482717719447149</v>
      </c>
      <c r="J36" s="55">
        <f t="shared" ca="1" si="5"/>
        <v>0.91335616176393419</v>
      </c>
      <c r="K36" s="51" t="b">
        <f t="array" aca="1" ref="K36" ca="1">IFERROR(OR(ABS(I36)&gt;=4, ABS(J36)&gt;=4),FALSE())</f>
        <v>0</v>
      </c>
      <c r="L36" s="51">
        <f t="shared" ca="1" si="6"/>
        <v>9</v>
      </c>
      <c r="M36" s="52">
        <f t="shared" si="2"/>
        <v>0.83635051546391759</v>
      </c>
      <c r="N36" s="51">
        <f t="shared" si="7"/>
        <v>5</v>
      </c>
      <c r="O36" s="51" t="str">
        <f t="shared" si="3"/>
        <v>No</v>
      </c>
      <c r="P36" s="47"/>
    </row>
    <row r="37" spans="1:16" ht="15" customHeight="1" x14ac:dyDescent="0.35">
      <c r="A37" s="44">
        <f>'Raw-Data'!A7</f>
        <v>46218</v>
      </c>
      <c r="B37" s="5">
        <f>'Raw-Data'!B7</f>
        <v>181</v>
      </c>
      <c r="C37" s="7">
        <f>'Raw-Data'!D7</f>
        <v>0.86706187845303861</v>
      </c>
      <c r="D37" s="7">
        <f ca="1">IF(NOT($K36),D36,AVERAGE(OFFSET($M36,-1*MAX($L36,N36),0):OFFSET($M36,0,0)))</f>
        <v>0.70232342803632519</v>
      </c>
      <c r="E37" s="45">
        <f ca="1">IF(NOT($K36),E36,IFERROR(STDEV(OFFSET($M36,-1*MAX($L36,N36),0):OFFSET($M36,0,0)),E36))</f>
        <v>0.13556814017487756</v>
      </c>
      <c r="F37" s="7">
        <f t="shared" ca="1" si="0"/>
        <v>0.60036506056564887</v>
      </c>
      <c r="G37" s="6">
        <v>0.9</v>
      </c>
      <c r="H37" s="46">
        <f t="shared" ca="1" si="1"/>
        <v>1.2151708373678898</v>
      </c>
      <c r="I37" s="46">
        <f t="shared" ca="1" si="4"/>
        <v>3.1634426093126047</v>
      </c>
      <c r="J37" s="46">
        <f t="shared" ca="1" si="5"/>
        <v>0.19818532439604442</v>
      </c>
      <c r="K37" s="5" t="b">
        <f t="array" aca="1" ref="K37" ca="1">IFERROR(OR(ABS(I37)&gt;=4, ABS(J37)&gt;=4),FALSE())</f>
        <v>0</v>
      </c>
      <c r="L37" s="5">
        <f t="shared" ca="1" si="6"/>
        <v>10</v>
      </c>
      <c r="M37" s="7">
        <f t="shared" si="2"/>
        <v>0.86706187845303861</v>
      </c>
      <c r="N37" s="5">
        <f t="shared" si="7"/>
        <v>5</v>
      </c>
      <c r="O37" s="5" t="str">
        <f t="shared" si="3"/>
        <v>No</v>
      </c>
      <c r="P37" s="47"/>
    </row>
    <row r="38" spans="1:16" ht="15" customHeight="1" x14ac:dyDescent="0.35">
      <c r="A38" s="50">
        <f>'Raw-Data'!A6</f>
        <v>46219</v>
      </c>
      <c r="B38" s="51">
        <f>'Raw-Data'!B6</f>
        <v>190</v>
      </c>
      <c r="C38" s="52">
        <f>'Raw-Data'!D6</f>
        <v>0.6756557894736841</v>
      </c>
      <c r="D38" s="52">
        <f ca="1">IF(NOT($K37),D37,AVERAGE(OFFSET($M37,-1*MAX($L37,N37),0):OFFSET($M37,0,0)))</f>
        <v>0.70232342803632519</v>
      </c>
      <c r="E38" s="53">
        <f ca="1">IF(NOT($K37),E37,IFERROR(STDEV(OFFSET($M37,-1*MAX($L37,N37),0):OFFSET($M37,0,0)),E37))</f>
        <v>0.13556814017487756</v>
      </c>
      <c r="F38" s="52">
        <f t="shared" ca="1" si="0"/>
        <v>0.60280915838490201</v>
      </c>
      <c r="G38" s="54">
        <v>0.9</v>
      </c>
      <c r="H38" s="55">
        <f t="shared" ca="1" si="1"/>
        <v>-0.19671021914323594</v>
      </c>
      <c r="I38" s="55">
        <f t="shared" ca="1" si="4"/>
        <v>2.4667323901693687</v>
      </c>
      <c r="J38" s="55">
        <f t="shared" ca="1" si="5"/>
        <v>0.89489554353928036</v>
      </c>
      <c r="K38" s="51" t="b">
        <f t="array" aca="1" ref="K38" ca="1">IFERROR(OR(ABS(I38)&gt;=4, ABS(J38)&gt;=4),FALSE())</f>
        <v>0</v>
      </c>
      <c r="L38" s="51">
        <f t="shared" ca="1" si="6"/>
        <v>11</v>
      </c>
      <c r="M38" s="52">
        <f t="shared" si="2"/>
        <v>0.6756557894736841</v>
      </c>
      <c r="N38" s="51">
        <f t="shared" si="7"/>
        <v>5</v>
      </c>
      <c r="O38" s="51" t="str">
        <f t="shared" si="3"/>
        <v>No</v>
      </c>
      <c r="P38" s="47"/>
    </row>
    <row r="41" spans="1:16" ht="15.5" x14ac:dyDescent="0.35">
      <c r="A41" s="66" t="s">
        <v>53</v>
      </c>
      <c r="B41" s="66"/>
      <c r="C41" s="66"/>
      <c r="D41" s="66"/>
      <c r="E41" s="66"/>
      <c r="F41" s="66"/>
      <c r="G41" s="66"/>
      <c r="H41" s="66"/>
      <c r="I41" s="66"/>
      <c r="J41" s="66"/>
      <c r="K41" s="66"/>
      <c r="L41" s="66"/>
      <c r="M41" s="66"/>
      <c r="N41" s="66"/>
      <c r="O41" s="66"/>
    </row>
    <row r="43" spans="1:16" x14ac:dyDescent="0.35">
      <c r="A43" s="67" t="s">
        <v>54</v>
      </c>
      <c r="B43" s="67"/>
      <c r="C43" s="67"/>
      <c r="D43" s="67"/>
      <c r="E43" s="67"/>
      <c r="F43" s="67"/>
      <c r="G43" s="67"/>
      <c r="H43" s="67"/>
      <c r="I43" s="67"/>
      <c r="J43" s="67"/>
      <c r="K43" s="67"/>
      <c r="L43" s="67"/>
      <c r="M43" s="67"/>
      <c r="N43" s="67"/>
      <c r="O43" s="67"/>
    </row>
    <row r="44" spans="1:16" ht="15" customHeight="1" x14ac:dyDescent="0.35">
      <c r="A44" s="65" t="s">
        <v>71</v>
      </c>
      <c r="B44" s="65"/>
      <c r="C44" s="65"/>
      <c r="D44" s="65"/>
      <c r="E44" s="65"/>
      <c r="F44" s="65"/>
      <c r="G44" s="65"/>
      <c r="H44" s="65"/>
      <c r="I44" s="65"/>
      <c r="J44" s="65"/>
      <c r="K44" s="65"/>
      <c r="L44" s="65"/>
      <c r="M44" s="65"/>
      <c r="N44" s="65"/>
      <c r="O44" s="65"/>
    </row>
    <row r="47" spans="1:16" x14ac:dyDescent="0.35">
      <c r="A47" s="67" t="s">
        <v>56</v>
      </c>
      <c r="B47" s="67"/>
      <c r="C47" s="67"/>
      <c r="D47" s="67"/>
      <c r="E47" s="67"/>
      <c r="F47" s="67"/>
      <c r="G47" s="67"/>
      <c r="H47" s="67"/>
      <c r="I47" s="67"/>
      <c r="J47" s="67"/>
      <c r="K47" s="67"/>
      <c r="L47" s="67"/>
      <c r="M47" s="67"/>
      <c r="N47" s="67"/>
      <c r="O47" s="67"/>
    </row>
    <row r="48" spans="1:16" ht="15" customHeight="1" x14ac:dyDescent="0.35">
      <c r="A48" s="65" t="s">
        <v>72</v>
      </c>
      <c r="B48" s="65"/>
      <c r="C48" s="65"/>
      <c r="D48" s="65"/>
      <c r="E48" s="65"/>
      <c r="F48" s="65"/>
      <c r="G48" s="65"/>
      <c r="H48" s="65"/>
      <c r="I48" s="65"/>
      <c r="J48" s="65"/>
      <c r="K48" s="65"/>
      <c r="L48" s="65"/>
      <c r="M48" s="65"/>
      <c r="N48" s="65"/>
      <c r="O48" s="65"/>
    </row>
    <row r="49" spans="1:15" x14ac:dyDescent="0.35">
      <c r="A49" s="65"/>
      <c r="B49" s="65"/>
      <c r="C49" s="65"/>
      <c r="D49" s="65"/>
      <c r="E49" s="65"/>
      <c r="F49" s="65"/>
      <c r="G49" s="65"/>
      <c r="H49" s="65"/>
      <c r="I49" s="65"/>
      <c r="J49" s="65"/>
      <c r="K49" s="65"/>
      <c r="L49" s="65"/>
      <c r="M49" s="65"/>
      <c r="N49" s="65"/>
      <c r="O49" s="65"/>
    </row>
  </sheetData>
  <mergeCells count="8">
    <mergeCell ref="A48:O49"/>
    <mergeCell ref="A1:O1"/>
    <mergeCell ref="A2:O2"/>
    <mergeCell ref="R4:S4"/>
    <mergeCell ref="A41:O41"/>
    <mergeCell ref="A43:O43"/>
    <mergeCell ref="A44:O44"/>
    <mergeCell ref="A47:O47"/>
  </mergeCells>
  <conditionalFormatting sqref="K5:K38">
    <cfRule type="cellIs" dxfId="5" priority="2" operator="equal">
      <formula>1</formula>
    </cfRule>
  </conditionalFormatting>
  <conditionalFormatting sqref="O5:O38">
    <cfRule type="cellIs" dxfId="4" priority="3" operator="equal">
      <formula>"No"</formula>
    </cfRule>
    <cfRule type="cellIs" dxfId="3" priority="4" operator="equal">
      <formula>"Yes"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4"/>
  <sheetViews>
    <sheetView zoomScaleNormal="100" workbookViewId="0">
      <selection sqref="A1:O1"/>
    </sheetView>
  </sheetViews>
  <sheetFormatPr defaultColWidth="8.6328125" defaultRowHeight="14.5" x14ac:dyDescent="0.35"/>
  <cols>
    <col min="1" max="1" width="13" customWidth="1"/>
    <col min="2" max="2" width="14" customWidth="1"/>
    <col min="3" max="3" width="15" customWidth="1"/>
    <col min="4" max="4" width="12" customWidth="1"/>
    <col min="5" max="6" width="11" customWidth="1"/>
    <col min="7" max="8" width="10" customWidth="1"/>
    <col min="9" max="10" width="9" customWidth="1"/>
    <col min="11" max="11" width="14" customWidth="1"/>
    <col min="12" max="12" width="9" customWidth="1"/>
    <col min="13" max="13" width="15" customWidth="1"/>
    <col min="14" max="14" width="8" customWidth="1"/>
    <col min="15" max="15" width="13" customWidth="1"/>
    <col min="16" max="16" width="9" customWidth="1"/>
    <col min="18" max="18" width="30" customWidth="1"/>
    <col min="19" max="19" width="14" customWidth="1"/>
  </cols>
  <sheetData>
    <row r="1" spans="1:19" ht="18" customHeight="1" x14ac:dyDescent="0.4">
      <c r="A1" s="62" t="s">
        <v>73</v>
      </c>
      <c r="B1" s="62"/>
      <c r="C1" s="62"/>
      <c r="D1" s="62"/>
      <c r="E1" s="62"/>
      <c r="F1" s="62"/>
      <c r="G1" s="62"/>
      <c r="H1" s="62"/>
      <c r="I1" s="62"/>
      <c r="J1" s="62"/>
      <c r="K1" s="62"/>
      <c r="L1" s="62"/>
      <c r="M1" s="62"/>
      <c r="N1" s="62"/>
      <c r="O1" s="62"/>
    </row>
    <row r="2" spans="1:19" ht="15" customHeight="1" x14ac:dyDescent="0.35">
      <c r="A2" s="63" t="s">
        <v>31</v>
      </c>
      <c r="B2" s="63"/>
      <c r="C2" s="63"/>
      <c r="D2" s="63"/>
      <c r="E2" s="63"/>
      <c r="F2" s="63"/>
      <c r="G2" s="63"/>
      <c r="H2" s="63"/>
      <c r="I2" s="63"/>
      <c r="J2" s="63"/>
      <c r="K2" s="63"/>
      <c r="L2" s="63"/>
      <c r="M2" s="63"/>
      <c r="N2" s="63"/>
      <c r="O2" s="63"/>
    </row>
    <row r="4" spans="1:19" ht="15" customHeight="1" x14ac:dyDescent="0.35">
      <c r="A4" s="3" t="s">
        <v>20</v>
      </c>
      <c r="B4" s="3" t="s">
        <v>32</v>
      </c>
      <c r="C4" s="3" t="s">
        <v>74</v>
      </c>
      <c r="D4" s="3" t="s">
        <v>33</v>
      </c>
      <c r="E4" s="3" t="s">
        <v>34</v>
      </c>
      <c r="F4" s="3" t="s">
        <v>35</v>
      </c>
      <c r="G4" s="3" t="s">
        <v>4</v>
      </c>
      <c r="H4" s="3" t="s">
        <v>36</v>
      </c>
      <c r="I4" s="3" t="s">
        <v>37</v>
      </c>
      <c r="J4" s="3" t="s">
        <v>38</v>
      </c>
      <c r="K4" s="3" t="s">
        <v>39</v>
      </c>
      <c r="L4" s="3" t="s">
        <v>40</v>
      </c>
      <c r="M4" s="3" t="s">
        <v>41</v>
      </c>
      <c r="N4" s="3" t="s">
        <v>42</v>
      </c>
      <c r="O4" s="3" t="s">
        <v>43</v>
      </c>
      <c r="P4" s="3" t="s">
        <v>44</v>
      </c>
      <c r="R4" s="66" t="s">
        <v>45</v>
      </c>
      <c r="S4" s="66"/>
    </row>
    <row r="5" spans="1:19" ht="15" customHeight="1" x14ac:dyDescent="0.35">
      <c r="A5" s="44">
        <f>'Raw-Data'!A39</f>
        <v>46186</v>
      </c>
      <c r="B5" s="5">
        <v>1</v>
      </c>
      <c r="C5" s="7">
        <f>'Raw-Data'!G39</f>
        <v>0.94899999999999995</v>
      </c>
      <c r="D5" s="7">
        <v>0.9</v>
      </c>
      <c r="E5" s="45">
        <v>0.05</v>
      </c>
      <c r="F5" s="7">
        <f t="shared" ref="F5:F38" si="0">MAX(0,D5-3*E5)</f>
        <v>0.75</v>
      </c>
      <c r="G5" s="6">
        <v>0.95</v>
      </c>
      <c r="H5" s="46">
        <f t="shared" ref="H5:H38" si="1">(C5-D5)/E5</f>
        <v>0.97999999999999865</v>
      </c>
      <c r="I5" s="46">
        <v>0</v>
      </c>
      <c r="J5" s="46">
        <v>0</v>
      </c>
      <c r="K5" s="5" t="b">
        <f t="array" ref="K5">IFERROR(OR(ABS(I5)&gt;=4, ABS(J5)&gt;=4),FALSE())</f>
        <v>0</v>
      </c>
      <c r="L5" s="5">
        <v>0</v>
      </c>
      <c r="M5" s="7">
        <f t="shared" ref="M5:M38" si="2">IF(P5="y","",C5)</f>
        <v>0.94899999999999995</v>
      </c>
      <c r="N5" s="5">
        <v>1</v>
      </c>
      <c r="O5" s="5" t="str">
        <f t="shared" ref="O5:O38" si="3">IF(C5&gt;=G5,"Yes","No")</f>
        <v>No</v>
      </c>
      <c r="P5" s="47"/>
      <c r="R5" s="48" t="s">
        <v>4</v>
      </c>
      <c r="S5" s="49">
        <v>0.95</v>
      </c>
    </row>
    <row r="6" spans="1:19" ht="15" customHeight="1" x14ac:dyDescent="0.35">
      <c r="A6" s="50">
        <f>'Raw-Data'!A38</f>
        <v>46187</v>
      </c>
      <c r="B6" s="51">
        <v>1</v>
      </c>
      <c r="C6" s="52">
        <f>'Raw-Data'!G38</f>
        <v>0.94510000000000005</v>
      </c>
      <c r="D6" s="52">
        <f ca="1">IF(NOT($K5),D5,AVERAGE(OFFSET($M5,-1*MAX($L5,N5),0):OFFSET($M5,0,0)))</f>
        <v>0.9</v>
      </c>
      <c r="E6" s="53">
        <f ca="1">IF(NOT($K5),E5,IFERROR(STDEV(OFFSET($M5,-1*MAX($L5,N5),0):OFFSET($M5,0,0)),E5))</f>
        <v>0.05</v>
      </c>
      <c r="F6" s="52">
        <f t="shared" ca="1" si="0"/>
        <v>0.75</v>
      </c>
      <c r="G6" s="54">
        <v>0.95</v>
      </c>
      <c r="H6" s="55">
        <f t="shared" ca="1" si="1"/>
        <v>0.90200000000000058</v>
      </c>
      <c r="I6" s="55">
        <f t="shared" ref="I6:I38" ca="1" si="4">IF(P6="y",I5,IF(K5,0,MAX(0,I5+H6-0.5)))</f>
        <v>0.40200000000000058</v>
      </c>
      <c r="J6" s="55">
        <f t="shared" ref="J6:J38" ca="1" si="5">IF(P6="y",J5,IF(K5,0,MAX(0,J5-H6+0.5)))</f>
        <v>0</v>
      </c>
      <c r="K6" s="51" t="b">
        <f t="array" aca="1" ref="K6" ca="1">IFERROR(OR(ABS(I6)&gt;=4, ABS(J6)&gt;=4),FALSE())</f>
        <v>0</v>
      </c>
      <c r="L6" s="51">
        <f t="shared" ref="L6:L38" si="6">IF(K5,0,L5+1)</f>
        <v>1</v>
      </c>
      <c r="M6" s="52">
        <f t="shared" si="2"/>
        <v>0.94510000000000005</v>
      </c>
      <c r="N6" s="51">
        <f t="shared" ref="N6:N38" si="7">MIN(5,N5+1)</f>
        <v>2</v>
      </c>
      <c r="O6" s="51" t="str">
        <f t="shared" si="3"/>
        <v>No</v>
      </c>
      <c r="P6" s="47"/>
      <c r="R6" s="48" t="s">
        <v>46</v>
      </c>
      <c r="S6" s="56">
        <v>34</v>
      </c>
    </row>
    <row r="7" spans="1:19" ht="15" customHeight="1" x14ac:dyDescent="0.35">
      <c r="A7" s="44">
        <f>'Raw-Data'!A37</f>
        <v>46188</v>
      </c>
      <c r="B7" s="5">
        <v>1</v>
      </c>
      <c r="C7" s="7">
        <f>'Raw-Data'!G37</f>
        <v>0.94640000000000002</v>
      </c>
      <c r="D7" s="7">
        <f ca="1">IF(NOT($K6),D6,AVERAGE(OFFSET($M6,-1*MAX($L6,N6),0):OFFSET($M6,0,0)))</f>
        <v>0.9</v>
      </c>
      <c r="E7" s="45">
        <f ca="1">IF(NOT($K6),E6,IFERROR(STDEV(OFFSET($M6,-1*MAX($L6,N6),0):OFFSET($M6,0,0)),E6))</f>
        <v>0.05</v>
      </c>
      <c r="F7" s="7">
        <f t="shared" ca="1" si="0"/>
        <v>0.75</v>
      </c>
      <c r="G7" s="6">
        <v>0.95</v>
      </c>
      <c r="H7" s="46">
        <f t="shared" ca="1" si="1"/>
        <v>0.92799999999999994</v>
      </c>
      <c r="I7" s="46">
        <f t="shared" ca="1" si="4"/>
        <v>0.83000000000000052</v>
      </c>
      <c r="J7" s="46">
        <f t="shared" ca="1" si="5"/>
        <v>0</v>
      </c>
      <c r="K7" s="5" t="b">
        <f t="array" aca="1" ref="K7" ca="1">IFERROR(OR(ABS(I7)&gt;=4, ABS(J7)&gt;=4),FALSE())</f>
        <v>0</v>
      </c>
      <c r="L7" s="5">
        <f t="shared" ca="1" si="6"/>
        <v>2</v>
      </c>
      <c r="M7" s="7">
        <f t="shared" si="2"/>
        <v>0.94640000000000002</v>
      </c>
      <c r="N7" s="5">
        <f t="shared" si="7"/>
        <v>3</v>
      </c>
      <c r="O7" s="5" t="str">
        <f t="shared" si="3"/>
        <v>No</v>
      </c>
      <c r="P7" s="47"/>
      <c r="R7" s="48" t="s">
        <v>47</v>
      </c>
      <c r="S7" s="56">
        <f ca="1">COUNTIF(K5:K38,TRUE())</f>
        <v>3</v>
      </c>
    </row>
    <row r="8" spans="1:19" ht="15" customHeight="1" x14ac:dyDescent="0.35">
      <c r="A8" s="50">
        <f>'Raw-Data'!A36</f>
        <v>46189</v>
      </c>
      <c r="B8" s="51">
        <v>1</v>
      </c>
      <c r="C8" s="52">
        <f>'Raw-Data'!G36</f>
        <v>0.94189999999999996</v>
      </c>
      <c r="D8" s="52">
        <f ca="1">IF(NOT($K7),D7,AVERAGE(OFFSET($M7,-1*MAX($L7,N7),0):OFFSET($M7,0,0)))</f>
        <v>0.9</v>
      </c>
      <c r="E8" s="53">
        <f ca="1">IF(NOT($K7),E7,IFERROR(STDEV(OFFSET($M7,-1*MAX($L7,N7),0):OFFSET($M7,0,0)),E7))</f>
        <v>0.05</v>
      </c>
      <c r="F8" s="52">
        <f t="shared" ca="1" si="0"/>
        <v>0.75</v>
      </c>
      <c r="G8" s="54">
        <v>0.95</v>
      </c>
      <c r="H8" s="55">
        <f t="shared" ca="1" si="1"/>
        <v>0.83799999999999875</v>
      </c>
      <c r="I8" s="55">
        <f t="shared" ca="1" si="4"/>
        <v>1.1679999999999993</v>
      </c>
      <c r="J8" s="55">
        <f t="shared" ca="1" si="5"/>
        <v>0</v>
      </c>
      <c r="K8" s="51" t="b">
        <f t="array" aca="1" ref="K8" ca="1">IFERROR(OR(ABS(I8)&gt;=4, ABS(J8)&gt;=4),FALSE())</f>
        <v>0</v>
      </c>
      <c r="L8" s="51">
        <f t="shared" ca="1" si="6"/>
        <v>3</v>
      </c>
      <c r="M8" s="52">
        <f t="shared" si="2"/>
        <v>0.94189999999999996</v>
      </c>
      <c r="N8" s="51">
        <f t="shared" si="7"/>
        <v>4</v>
      </c>
      <c r="O8" s="51" t="str">
        <f t="shared" si="3"/>
        <v>No</v>
      </c>
      <c r="P8" s="47"/>
      <c r="R8" s="48" t="s">
        <v>48</v>
      </c>
      <c r="S8" s="57" t="str">
        <f>COUNTIF(O5:O38,"Yes")&amp;"/"&amp;34</f>
        <v>16/34</v>
      </c>
    </row>
    <row r="9" spans="1:19" ht="15" customHeight="1" x14ac:dyDescent="0.35">
      <c r="A9" s="44">
        <f>'Raw-Data'!A35</f>
        <v>46190</v>
      </c>
      <c r="B9" s="5">
        <v>1</v>
      </c>
      <c r="C9" s="7">
        <f>'Raw-Data'!G35</f>
        <v>0.9446</v>
      </c>
      <c r="D9" s="7">
        <f ca="1">IF(NOT($K8),D8,AVERAGE(OFFSET($M8,-1*MAX($L8,N8),0):OFFSET($M8,0,0)))</f>
        <v>0.9</v>
      </c>
      <c r="E9" s="45">
        <f ca="1">IF(NOT($K8),E8,IFERROR(STDEV(OFFSET($M8,-1*MAX($L8,N8),0):OFFSET($M8,0,0)),E8))</f>
        <v>0.05</v>
      </c>
      <c r="F9" s="7">
        <f t="shared" ca="1" si="0"/>
        <v>0.75</v>
      </c>
      <c r="G9" s="6">
        <v>0.95</v>
      </c>
      <c r="H9" s="46">
        <f t="shared" ca="1" si="1"/>
        <v>0.89199999999999946</v>
      </c>
      <c r="I9" s="46">
        <f t="shared" ca="1" si="4"/>
        <v>1.5599999999999987</v>
      </c>
      <c r="J9" s="46">
        <f t="shared" ca="1" si="5"/>
        <v>0</v>
      </c>
      <c r="K9" s="5" t="b">
        <f t="array" aca="1" ref="K9" ca="1">IFERROR(OR(ABS(I9)&gt;=4, ABS(J9)&gt;=4),FALSE())</f>
        <v>0</v>
      </c>
      <c r="L9" s="5">
        <f t="shared" ca="1" si="6"/>
        <v>4</v>
      </c>
      <c r="M9" s="7">
        <f t="shared" si="2"/>
        <v>0.9446</v>
      </c>
      <c r="N9" s="5">
        <f t="shared" si="7"/>
        <v>5</v>
      </c>
      <c r="O9" s="5" t="str">
        <f t="shared" si="3"/>
        <v>No</v>
      </c>
      <c r="P9" s="47"/>
      <c r="R9" s="48" t="s">
        <v>49</v>
      </c>
      <c r="S9" s="58">
        <f>AVERAGE(C5:C38)</f>
        <v>0.94824117647058825</v>
      </c>
    </row>
    <row r="10" spans="1:19" ht="15" customHeight="1" x14ac:dyDescent="0.35">
      <c r="A10" s="50">
        <f>'Raw-Data'!A34</f>
        <v>46191</v>
      </c>
      <c r="B10" s="51">
        <v>1</v>
      </c>
      <c r="C10" s="52">
        <f>'Raw-Data'!G34</f>
        <v>0.95599999999999996</v>
      </c>
      <c r="D10" s="52">
        <f ca="1">IF(NOT($K9),D9,AVERAGE(OFFSET($M9,-1*MAX($L9,N9),0):OFFSET($M9,0,0)))</f>
        <v>0.9</v>
      </c>
      <c r="E10" s="53">
        <f ca="1">IF(NOT($K9),E9,IFERROR(STDEV(OFFSET($M9,-1*MAX($L9,N9),0):OFFSET($M9,0,0)),E9))</f>
        <v>0.05</v>
      </c>
      <c r="F10" s="52">
        <f t="shared" ca="1" si="0"/>
        <v>0.75</v>
      </c>
      <c r="G10" s="54">
        <v>0.95</v>
      </c>
      <c r="H10" s="55">
        <f t="shared" ca="1" si="1"/>
        <v>1.1199999999999988</v>
      </c>
      <c r="I10" s="55">
        <f t="shared" ca="1" si="4"/>
        <v>2.1799999999999975</v>
      </c>
      <c r="J10" s="55">
        <f t="shared" ca="1" si="5"/>
        <v>0</v>
      </c>
      <c r="K10" s="51" t="b">
        <f t="array" aca="1" ref="K10" ca="1">IFERROR(OR(ABS(I10)&gt;=4, ABS(J10)&gt;=4),FALSE())</f>
        <v>0</v>
      </c>
      <c r="L10" s="51">
        <f t="shared" ca="1" si="6"/>
        <v>5</v>
      </c>
      <c r="M10" s="52">
        <f t="shared" si="2"/>
        <v>0.95599999999999996</v>
      </c>
      <c r="N10" s="51">
        <f t="shared" si="7"/>
        <v>5</v>
      </c>
      <c r="O10" s="51" t="str">
        <f t="shared" si="3"/>
        <v>Yes</v>
      </c>
      <c r="P10" s="47"/>
      <c r="R10" s="48" t="s">
        <v>50</v>
      </c>
      <c r="S10" s="58">
        <f>AVERAGE(C5:C38)-G5</f>
        <v>-1.7588235294117016E-3</v>
      </c>
    </row>
    <row r="11" spans="1:19" ht="15" customHeight="1" x14ac:dyDescent="0.35">
      <c r="A11" s="44">
        <f>'Raw-Data'!A33</f>
        <v>46192</v>
      </c>
      <c r="B11" s="5">
        <v>1</v>
      </c>
      <c r="C11" s="7">
        <f>'Raw-Data'!G33</f>
        <v>0.9516</v>
      </c>
      <c r="D11" s="7">
        <f ca="1">IF(NOT($K10),D10,AVERAGE(OFFSET($M10,-1*MAX($L10,N10),0):OFFSET($M10,0,0)))</f>
        <v>0.9</v>
      </c>
      <c r="E11" s="45">
        <f ca="1">IF(NOT($K10),E10,IFERROR(STDEV(OFFSET($M10,-1*MAX($L10,N10),0):OFFSET($M10,0,0)),E10))</f>
        <v>0.05</v>
      </c>
      <c r="F11" s="7">
        <f t="shared" ca="1" si="0"/>
        <v>0.75</v>
      </c>
      <c r="G11" s="6">
        <v>0.95</v>
      </c>
      <c r="H11" s="46">
        <f t="shared" ca="1" si="1"/>
        <v>1.0319999999999996</v>
      </c>
      <c r="I11" s="46">
        <f t="shared" ca="1" si="4"/>
        <v>2.7119999999999971</v>
      </c>
      <c r="J11" s="46">
        <f t="shared" ca="1" si="5"/>
        <v>0</v>
      </c>
      <c r="K11" s="5" t="b">
        <f t="array" aca="1" ref="K11" ca="1">IFERROR(OR(ABS(I11)&gt;=4, ABS(J11)&gt;=4),FALSE())</f>
        <v>0</v>
      </c>
      <c r="L11" s="5">
        <f t="shared" ca="1" si="6"/>
        <v>6</v>
      </c>
      <c r="M11" s="7">
        <f t="shared" si="2"/>
        <v>0.9516</v>
      </c>
      <c r="N11" s="5">
        <f t="shared" si="7"/>
        <v>5</v>
      </c>
      <c r="O11" s="5" t="str">
        <f t="shared" si="3"/>
        <v>Yes</v>
      </c>
      <c r="P11" s="47"/>
      <c r="R11" s="48" t="s">
        <v>51</v>
      </c>
      <c r="S11" s="58">
        <f ca="1">D38</f>
        <v>0.94414999999999993</v>
      </c>
    </row>
    <row r="12" spans="1:19" ht="15" customHeight="1" x14ac:dyDescent="0.35">
      <c r="A12" s="50">
        <f>'Raw-Data'!A32</f>
        <v>46193</v>
      </c>
      <c r="B12" s="51">
        <v>1</v>
      </c>
      <c r="C12" s="52">
        <f>'Raw-Data'!G32</f>
        <v>0.95309999999999995</v>
      </c>
      <c r="D12" s="52">
        <f ca="1">IF(NOT($K11),D11,AVERAGE(OFFSET($M11,-1*MAX($L11,N11),0):OFFSET($M11,0,0)))</f>
        <v>0.9</v>
      </c>
      <c r="E12" s="53">
        <f ca="1">IF(NOT($K11),E11,IFERROR(STDEV(OFFSET($M11,-1*MAX($L11,N11),0):OFFSET($M11,0,0)),E11))</f>
        <v>0.05</v>
      </c>
      <c r="F12" s="52">
        <f t="shared" ca="1" si="0"/>
        <v>0.75</v>
      </c>
      <c r="G12" s="54">
        <v>0.95</v>
      </c>
      <c r="H12" s="55">
        <f t="shared" ca="1" si="1"/>
        <v>1.0619999999999985</v>
      </c>
      <c r="I12" s="55">
        <f t="shared" ca="1" si="4"/>
        <v>3.2739999999999956</v>
      </c>
      <c r="J12" s="55">
        <f t="shared" ca="1" si="5"/>
        <v>0</v>
      </c>
      <c r="K12" s="51" t="b">
        <f t="array" aca="1" ref="K12" ca="1">IFERROR(OR(ABS(I12)&gt;=4, ABS(J12)&gt;=4),FALSE())</f>
        <v>0</v>
      </c>
      <c r="L12" s="51">
        <f t="shared" ca="1" si="6"/>
        <v>7</v>
      </c>
      <c r="M12" s="52">
        <f t="shared" si="2"/>
        <v>0.95309999999999995</v>
      </c>
      <c r="N12" s="51">
        <f t="shared" si="7"/>
        <v>5</v>
      </c>
      <c r="O12" s="51" t="str">
        <f t="shared" si="3"/>
        <v>Yes</v>
      </c>
      <c r="P12" s="47"/>
      <c r="R12" s="48" t="s">
        <v>52</v>
      </c>
      <c r="S12" s="58">
        <f ca="1">F38</f>
        <v>0.91358722852881291</v>
      </c>
    </row>
    <row r="13" spans="1:19" ht="15" customHeight="1" x14ac:dyDescent="0.35">
      <c r="A13" s="44">
        <f>'Raw-Data'!A31</f>
        <v>46194</v>
      </c>
      <c r="B13" s="5">
        <v>1</v>
      </c>
      <c r="C13" s="7">
        <f>'Raw-Data'!G31</f>
        <v>0.94179999999999997</v>
      </c>
      <c r="D13" s="7">
        <f ca="1">IF(NOT($K12),D12,AVERAGE(OFFSET($M12,-1*MAX($L12,N12),0):OFFSET($M12,0,0)))</f>
        <v>0.9</v>
      </c>
      <c r="E13" s="45">
        <f ca="1">IF(NOT($K12),E12,IFERROR(STDEV(OFFSET($M12,-1*MAX($L12,N12),0):OFFSET($M12,0,0)),E12))</f>
        <v>0.05</v>
      </c>
      <c r="F13" s="7">
        <f t="shared" ca="1" si="0"/>
        <v>0.75</v>
      </c>
      <c r="G13" s="6">
        <v>0.95</v>
      </c>
      <c r="H13" s="46">
        <f t="shared" ca="1" si="1"/>
        <v>0.83599999999999897</v>
      </c>
      <c r="I13" s="46">
        <f t="shared" ca="1" si="4"/>
        <v>3.6099999999999941</v>
      </c>
      <c r="J13" s="46">
        <f t="shared" ca="1" si="5"/>
        <v>0</v>
      </c>
      <c r="K13" s="5" t="b">
        <f t="array" aca="1" ref="K13" ca="1">IFERROR(OR(ABS(I13)&gt;=4, ABS(J13)&gt;=4),FALSE())</f>
        <v>0</v>
      </c>
      <c r="L13" s="5">
        <f t="shared" ca="1" si="6"/>
        <v>8</v>
      </c>
      <c r="M13" s="7">
        <f t="shared" si="2"/>
        <v>0.94179999999999997</v>
      </c>
      <c r="N13" s="5">
        <f t="shared" si="7"/>
        <v>5</v>
      </c>
      <c r="O13" s="5" t="str">
        <f t="shared" si="3"/>
        <v>No</v>
      </c>
      <c r="P13" s="47"/>
    </row>
    <row r="14" spans="1:19" ht="15" customHeight="1" x14ac:dyDescent="0.35">
      <c r="A14" s="50">
        <f>'Raw-Data'!A30</f>
        <v>46195</v>
      </c>
      <c r="B14" s="51">
        <v>1</v>
      </c>
      <c r="C14" s="52">
        <f>'Raw-Data'!G30</f>
        <v>0.95720000000000005</v>
      </c>
      <c r="D14" s="52">
        <f ca="1">IF(NOT($K13),D13,AVERAGE(OFFSET($M13,-1*MAX($L13,N13),0):OFFSET($M13,0,0)))</f>
        <v>0.9</v>
      </c>
      <c r="E14" s="53">
        <f ca="1">IF(NOT($K13),E13,IFERROR(STDEV(OFFSET($M13,-1*MAX($L13,N13),0):OFFSET($M13,0,0)),E13))</f>
        <v>0.05</v>
      </c>
      <c r="F14" s="52">
        <f t="shared" ca="1" si="0"/>
        <v>0.75</v>
      </c>
      <c r="G14" s="54">
        <v>0.95</v>
      </c>
      <c r="H14" s="55">
        <f t="shared" ca="1" si="1"/>
        <v>1.1440000000000006</v>
      </c>
      <c r="I14" s="55">
        <f t="shared" ca="1" si="4"/>
        <v>4.2539999999999942</v>
      </c>
      <c r="J14" s="55">
        <f t="shared" ca="1" si="5"/>
        <v>0</v>
      </c>
      <c r="K14" s="51" t="b">
        <f t="array" aca="1" ref="K14" ca="1">IFERROR(OR(ABS(I14)&gt;=4, ABS(J14)&gt;=4),FALSE())</f>
        <v>1</v>
      </c>
      <c r="L14" s="51">
        <f t="shared" ca="1" si="6"/>
        <v>9</v>
      </c>
      <c r="M14" s="52">
        <f t="shared" si="2"/>
        <v>0.95720000000000005</v>
      </c>
      <c r="N14" s="51">
        <f t="shared" si="7"/>
        <v>5</v>
      </c>
      <c r="O14" s="51" t="str">
        <f t="shared" si="3"/>
        <v>Yes</v>
      </c>
      <c r="P14" s="47"/>
    </row>
    <row r="15" spans="1:19" ht="15" customHeight="1" x14ac:dyDescent="0.35">
      <c r="A15" s="44">
        <f>'Raw-Data'!A29</f>
        <v>46196</v>
      </c>
      <c r="B15" s="5">
        <v>1</v>
      </c>
      <c r="C15" s="7">
        <f>'Raw-Data'!G29</f>
        <v>0.9546</v>
      </c>
      <c r="D15" s="7">
        <f ca="1">IF(NOT($K14),D14,AVERAGE(OFFSET($M14,-1*MAX($L14,N14),0):OFFSET($M14,0,0)))</f>
        <v>0.94867000000000012</v>
      </c>
      <c r="E15" s="45">
        <f ca="1">IF(NOT($K14),E14,IFERROR(STDEV(OFFSET($M14,-1*MAX($L14,N14),0):OFFSET($M14,0,0)),E14))</f>
        <v>5.6006051260357407E-3</v>
      </c>
      <c r="F15" s="7">
        <f t="shared" ca="1" si="0"/>
        <v>0.93186818462189291</v>
      </c>
      <c r="G15" s="6">
        <v>0.95</v>
      </c>
      <c r="H15" s="46">
        <f t="shared" ca="1" si="1"/>
        <v>1.0588141578546342</v>
      </c>
      <c r="I15" s="46">
        <f t="shared" ca="1" si="4"/>
        <v>0</v>
      </c>
      <c r="J15" s="46">
        <f t="shared" ca="1" si="5"/>
        <v>0</v>
      </c>
      <c r="K15" s="5" t="b">
        <f t="array" aca="1" ref="K15" ca="1">IFERROR(OR(ABS(I15)&gt;=4, ABS(J15)&gt;=4),FALSE())</f>
        <v>0</v>
      </c>
      <c r="L15" s="5">
        <f t="shared" ca="1" si="6"/>
        <v>0</v>
      </c>
      <c r="M15" s="7">
        <f t="shared" si="2"/>
        <v>0.9546</v>
      </c>
      <c r="N15" s="5">
        <f t="shared" si="7"/>
        <v>5</v>
      </c>
      <c r="O15" s="5" t="str">
        <f t="shared" si="3"/>
        <v>Yes</v>
      </c>
      <c r="P15" s="47"/>
    </row>
    <row r="16" spans="1:19" ht="15" customHeight="1" x14ac:dyDescent="0.35">
      <c r="A16" s="50">
        <f>'Raw-Data'!A28</f>
        <v>46197</v>
      </c>
      <c r="B16" s="51">
        <v>1</v>
      </c>
      <c r="C16" s="52">
        <f>'Raw-Data'!G28</f>
        <v>0.94259999999999999</v>
      </c>
      <c r="D16" s="52">
        <f ca="1">IF(NOT($K15),D15,AVERAGE(OFFSET($M15,-1*MAX($L15,N15),0):OFFSET($M15,0,0)))</f>
        <v>0.94867000000000012</v>
      </c>
      <c r="E16" s="53">
        <f ca="1">IF(NOT($K15),E15,IFERROR(STDEV(OFFSET($M15,-1*MAX($L15,N15),0):OFFSET($M15,0,0)),E15))</f>
        <v>5.6006051260357407E-3</v>
      </c>
      <c r="F16" s="52">
        <f t="shared" ca="1" si="0"/>
        <v>0.93186818462189291</v>
      </c>
      <c r="G16" s="54">
        <v>0.95</v>
      </c>
      <c r="H16" s="55">
        <f t="shared" ca="1" si="1"/>
        <v>-1.0838114566910453</v>
      </c>
      <c r="I16" s="55">
        <f t="shared" ca="1" si="4"/>
        <v>0</v>
      </c>
      <c r="J16" s="55">
        <f t="shared" ca="1" si="5"/>
        <v>1.5838114566910453</v>
      </c>
      <c r="K16" s="51" t="b">
        <f t="array" aca="1" ref="K16" ca="1">IFERROR(OR(ABS(I16)&gt;=4, ABS(J16)&gt;=4),FALSE())</f>
        <v>0</v>
      </c>
      <c r="L16" s="51">
        <f t="shared" ca="1" si="6"/>
        <v>1</v>
      </c>
      <c r="M16" s="52">
        <f t="shared" si="2"/>
        <v>0.94259999999999999</v>
      </c>
      <c r="N16" s="51">
        <f t="shared" si="7"/>
        <v>5</v>
      </c>
      <c r="O16" s="51" t="str">
        <f t="shared" si="3"/>
        <v>No</v>
      </c>
      <c r="P16" s="47"/>
    </row>
    <row r="17" spans="1:16" ht="15" customHeight="1" x14ac:dyDescent="0.35">
      <c r="A17" s="44">
        <f>'Raw-Data'!A27</f>
        <v>46198</v>
      </c>
      <c r="B17" s="5">
        <v>1</v>
      </c>
      <c r="C17" s="7">
        <f>'Raw-Data'!G27</f>
        <v>0.95450000000000002</v>
      </c>
      <c r="D17" s="7">
        <f ca="1">IF(NOT($K16),D16,AVERAGE(OFFSET($M16,-1*MAX($L16,N16),0):OFFSET($M16,0,0)))</f>
        <v>0.94867000000000012</v>
      </c>
      <c r="E17" s="45">
        <f ca="1">IF(NOT($K16),E16,IFERROR(STDEV(OFFSET($M16,-1*MAX($L16,N16),0):OFFSET($M16,0,0)),E16))</f>
        <v>5.6006051260357407E-3</v>
      </c>
      <c r="F17" s="7">
        <f t="shared" ca="1" si="0"/>
        <v>0.93186818462189291</v>
      </c>
      <c r="G17" s="6">
        <v>0.95</v>
      </c>
      <c r="H17" s="46">
        <f t="shared" ca="1" si="1"/>
        <v>1.0409589444000888</v>
      </c>
      <c r="I17" s="46">
        <f t="shared" ca="1" si="4"/>
        <v>0.54095894440008885</v>
      </c>
      <c r="J17" s="46">
        <f t="shared" ca="1" si="5"/>
        <v>1.0428525122909564</v>
      </c>
      <c r="K17" s="5" t="b">
        <f t="array" aca="1" ref="K17" ca="1">IFERROR(OR(ABS(I17)&gt;=4, ABS(J17)&gt;=4),FALSE())</f>
        <v>0</v>
      </c>
      <c r="L17" s="5">
        <f t="shared" ca="1" si="6"/>
        <v>2</v>
      </c>
      <c r="M17" s="7">
        <f t="shared" si="2"/>
        <v>0.95450000000000002</v>
      </c>
      <c r="N17" s="5">
        <f t="shared" si="7"/>
        <v>5</v>
      </c>
      <c r="O17" s="5" t="str">
        <f t="shared" si="3"/>
        <v>Yes</v>
      </c>
      <c r="P17" s="47"/>
    </row>
    <row r="18" spans="1:16" ht="15" customHeight="1" x14ac:dyDescent="0.35">
      <c r="A18" s="50">
        <f>'Raw-Data'!A26</f>
        <v>46199</v>
      </c>
      <c r="B18" s="51">
        <v>1</v>
      </c>
      <c r="C18" s="52">
        <f>'Raw-Data'!G26</f>
        <v>0.94230000000000003</v>
      </c>
      <c r="D18" s="52">
        <f ca="1">IF(NOT($K17),D17,AVERAGE(OFFSET($M17,-1*MAX($L17,N17),0):OFFSET($M17,0,0)))</f>
        <v>0.94867000000000012</v>
      </c>
      <c r="E18" s="53">
        <f ca="1">IF(NOT($K17),E17,IFERROR(STDEV(OFFSET($M17,-1*MAX($L17,N17),0):OFFSET($M17,0,0)),E17))</f>
        <v>5.6006051260357407E-3</v>
      </c>
      <c r="F18" s="52">
        <f t="shared" ca="1" si="0"/>
        <v>0.93186818462189291</v>
      </c>
      <c r="G18" s="54">
        <v>0.95</v>
      </c>
      <c r="H18" s="55">
        <f t="shared" ca="1" si="1"/>
        <v>-1.1373770970546813</v>
      </c>
      <c r="I18" s="55">
        <f t="shared" ca="1" si="4"/>
        <v>0</v>
      </c>
      <c r="J18" s="55">
        <f t="shared" ca="1" si="5"/>
        <v>2.6802296093456377</v>
      </c>
      <c r="K18" s="51" t="b">
        <f t="array" aca="1" ref="K18" ca="1">IFERROR(OR(ABS(I18)&gt;=4, ABS(J18)&gt;=4),FALSE())</f>
        <v>0</v>
      </c>
      <c r="L18" s="51">
        <f t="shared" ca="1" si="6"/>
        <v>3</v>
      </c>
      <c r="M18" s="52">
        <f t="shared" si="2"/>
        <v>0.94230000000000003</v>
      </c>
      <c r="N18" s="51">
        <f t="shared" si="7"/>
        <v>5</v>
      </c>
      <c r="O18" s="51" t="str">
        <f t="shared" si="3"/>
        <v>No</v>
      </c>
      <c r="P18" s="47"/>
    </row>
    <row r="19" spans="1:16" ht="15" customHeight="1" x14ac:dyDescent="0.35">
      <c r="A19" s="44">
        <f>'Raw-Data'!A25</f>
        <v>46200</v>
      </c>
      <c r="B19" s="5">
        <v>1</v>
      </c>
      <c r="C19" s="7">
        <f>'Raw-Data'!G25</f>
        <v>0.94820000000000004</v>
      </c>
      <c r="D19" s="7">
        <f ca="1">IF(NOT($K18),D18,AVERAGE(OFFSET($M18,-1*MAX($L18,N18),0):OFFSET($M18,0,0)))</f>
        <v>0.94867000000000012</v>
      </c>
      <c r="E19" s="45">
        <f ca="1">IF(NOT($K18),E18,IFERROR(STDEV(OFFSET($M18,-1*MAX($L18,N18),0):OFFSET($M18,0,0)),E18))</f>
        <v>5.6006051260357407E-3</v>
      </c>
      <c r="F19" s="7">
        <f t="shared" ca="1" si="0"/>
        <v>0.93186818462189291</v>
      </c>
      <c r="G19" s="6">
        <v>0.95</v>
      </c>
      <c r="H19" s="46">
        <f t="shared" ca="1" si="1"/>
        <v>-8.3919503236386916E-2</v>
      </c>
      <c r="I19" s="46">
        <f t="shared" ca="1" si="4"/>
        <v>0</v>
      </c>
      <c r="J19" s="46">
        <f t="shared" ca="1" si="5"/>
        <v>3.2641491125820248</v>
      </c>
      <c r="K19" s="5" t="b">
        <f t="array" aca="1" ref="K19" ca="1">IFERROR(OR(ABS(I19)&gt;=4, ABS(J19)&gt;=4),FALSE())</f>
        <v>0</v>
      </c>
      <c r="L19" s="5">
        <f t="shared" ca="1" si="6"/>
        <v>4</v>
      </c>
      <c r="M19" s="7">
        <f t="shared" si="2"/>
        <v>0.94820000000000004</v>
      </c>
      <c r="N19" s="5">
        <f t="shared" si="7"/>
        <v>5</v>
      </c>
      <c r="O19" s="5" t="str">
        <f t="shared" si="3"/>
        <v>No</v>
      </c>
      <c r="P19" s="47"/>
    </row>
    <row r="20" spans="1:16" ht="15" customHeight="1" x14ac:dyDescent="0.35">
      <c r="A20" s="50">
        <f>'Raw-Data'!A24</f>
        <v>46201</v>
      </c>
      <c r="B20" s="51">
        <v>1</v>
      </c>
      <c r="C20" s="52">
        <f>'Raw-Data'!G24</f>
        <v>0.93679999999999997</v>
      </c>
      <c r="D20" s="52">
        <f ca="1">IF(NOT($K19),D19,AVERAGE(OFFSET($M19,-1*MAX($L19,N19),0):OFFSET($M19,0,0)))</f>
        <v>0.94867000000000012</v>
      </c>
      <c r="E20" s="53">
        <f ca="1">IF(NOT($K19),E19,IFERROR(STDEV(OFFSET($M19,-1*MAX($L19,N19),0):OFFSET($M19,0,0)),E19))</f>
        <v>5.6006051260357407E-3</v>
      </c>
      <c r="F20" s="52">
        <f t="shared" ca="1" si="0"/>
        <v>0.93186818462189291</v>
      </c>
      <c r="G20" s="54">
        <v>0.95</v>
      </c>
      <c r="H20" s="55">
        <f t="shared" ca="1" si="1"/>
        <v>-2.1194138370547941</v>
      </c>
      <c r="I20" s="55">
        <f t="shared" ca="1" si="4"/>
        <v>0</v>
      </c>
      <c r="J20" s="55">
        <f t="shared" ca="1" si="5"/>
        <v>5.8835629496368185</v>
      </c>
      <c r="K20" s="51" t="b">
        <f t="array" aca="1" ref="K20" ca="1">IFERROR(OR(ABS(I20)&gt;=4, ABS(J20)&gt;=4),FALSE())</f>
        <v>1</v>
      </c>
      <c r="L20" s="51">
        <f t="shared" ca="1" si="6"/>
        <v>5</v>
      </c>
      <c r="M20" s="52">
        <f t="shared" si="2"/>
        <v>0.93679999999999997</v>
      </c>
      <c r="N20" s="51">
        <f t="shared" si="7"/>
        <v>5</v>
      </c>
      <c r="O20" s="51" t="str">
        <f t="shared" si="3"/>
        <v>No</v>
      </c>
      <c r="P20" s="47"/>
    </row>
    <row r="21" spans="1:16" ht="15" customHeight="1" x14ac:dyDescent="0.35">
      <c r="A21" s="44">
        <f>'Raw-Data'!A23</f>
        <v>46202</v>
      </c>
      <c r="B21" s="5">
        <v>1</v>
      </c>
      <c r="C21" s="7">
        <f>'Raw-Data'!G23</f>
        <v>0.95020000000000004</v>
      </c>
      <c r="D21" s="7">
        <f ca="1">IF(NOT($K20),D20,AVERAGE(OFFSET($M20,-1*MAX($L20,N20),0):OFFSET($M20,0,0)))</f>
        <v>0.94650000000000001</v>
      </c>
      <c r="E21" s="45">
        <f ca="1">IF(NOT($K20),E20,IFERROR(STDEV(OFFSET($M20,-1*MAX($L20,N20),0):OFFSET($M20,0,0)),E20))</f>
        <v>7.2033325620854266E-3</v>
      </c>
      <c r="F21" s="7">
        <f t="shared" ca="1" si="0"/>
        <v>0.92489000231374374</v>
      </c>
      <c r="G21" s="6">
        <v>0.95</v>
      </c>
      <c r="H21" s="46">
        <f t="shared" ca="1" si="1"/>
        <v>0.51365114245521593</v>
      </c>
      <c r="I21" s="46">
        <f t="shared" ca="1" si="4"/>
        <v>0</v>
      </c>
      <c r="J21" s="46">
        <f t="shared" ca="1" si="5"/>
        <v>0</v>
      </c>
      <c r="K21" s="5" t="b">
        <f t="array" aca="1" ref="K21" ca="1">IFERROR(OR(ABS(I21)&gt;=4, ABS(J21)&gt;=4),FALSE())</f>
        <v>0</v>
      </c>
      <c r="L21" s="5">
        <f t="shared" ca="1" si="6"/>
        <v>0</v>
      </c>
      <c r="M21" s="7">
        <f t="shared" si="2"/>
        <v>0.95020000000000004</v>
      </c>
      <c r="N21" s="5">
        <f t="shared" si="7"/>
        <v>5</v>
      </c>
      <c r="O21" s="5" t="str">
        <f t="shared" si="3"/>
        <v>Yes</v>
      </c>
      <c r="P21" s="47"/>
    </row>
    <row r="22" spans="1:16" ht="15" customHeight="1" x14ac:dyDescent="0.35">
      <c r="A22" s="50">
        <f>'Raw-Data'!A22</f>
        <v>46203</v>
      </c>
      <c r="B22" s="51">
        <v>1</v>
      </c>
      <c r="C22" s="52">
        <f>'Raw-Data'!G22</f>
        <v>0.9607</v>
      </c>
      <c r="D22" s="52">
        <f ca="1">IF(NOT($K21),D21,AVERAGE(OFFSET($M21,-1*MAX($L21,N21),0):OFFSET($M21,0,0)))</f>
        <v>0.94650000000000001</v>
      </c>
      <c r="E22" s="53">
        <f ca="1">IF(NOT($K21),E21,IFERROR(STDEV(OFFSET($M21,-1*MAX($L21,N21),0):OFFSET($M21,0,0)),E21))</f>
        <v>7.2033325620854266E-3</v>
      </c>
      <c r="F22" s="52">
        <f t="shared" ca="1" si="0"/>
        <v>0.92489000231374374</v>
      </c>
      <c r="G22" s="54">
        <v>0.95</v>
      </c>
      <c r="H22" s="55">
        <f t="shared" ca="1" si="1"/>
        <v>1.9713097899632401</v>
      </c>
      <c r="I22" s="55">
        <f t="shared" ca="1" si="4"/>
        <v>1.4713097899632401</v>
      </c>
      <c r="J22" s="55">
        <f t="shared" ca="1" si="5"/>
        <v>0</v>
      </c>
      <c r="K22" s="51" t="b">
        <f t="array" aca="1" ref="K22" ca="1">IFERROR(OR(ABS(I22)&gt;=4, ABS(J22)&gt;=4),FALSE())</f>
        <v>0</v>
      </c>
      <c r="L22" s="51">
        <f t="shared" ca="1" si="6"/>
        <v>1</v>
      </c>
      <c r="M22" s="52">
        <f t="shared" si="2"/>
        <v>0.9607</v>
      </c>
      <c r="N22" s="51">
        <f t="shared" si="7"/>
        <v>5</v>
      </c>
      <c r="O22" s="51" t="str">
        <f t="shared" si="3"/>
        <v>Yes</v>
      </c>
      <c r="P22" s="47"/>
    </row>
    <row r="23" spans="1:16" ht="15" customHeight="1" x14ac:dyDescent="0.35">
      <c r="A23" s="44">
        <f>'Raw-Data'!A21</f>
        <v>46204</v>
      </c>
      <c r="B23" s="5">
        <v>1</v>
      </c>
      <c r="C23" s="7">
        <f>'Raw-Data'!G21</f>
        <v>0.93899999999999995</v>
      </c>
      <c r="D23" s="7">
        <f ca="1">IF(NOT($K22),D22,AVERAGE(OFFSET($M22,-1*MAX($L22,N22),0):OFFSET($M22,0,0)))</f>
        <v>0.94650000000000001</v>
      </c>
      <c r="E23" s="45">
        <f ca="1">IF(NOT($K22),E22,IFERROR(STDEV(OFFSET($M22,-1*MAX($L22,N22),0):OFFSET($M22,0,0)),E22))</f>
        <v>7.2033325620854266E-3</v>
      </c>
      <c r="F23" s="7">
        <f t="shared" ca="1" si="0"/>
        <v>0.92489000231374374</v>
      </c>
      <c r="G23" s="6">
        <v>0.95</v>
      </c>
      <c r="H23" s="46">
        <f t="shared" ca="1" si="1"/>
        <v>-1.0411847482200305</v>
      </c>
      <c r="I23" s="46">
        <f t="shared" ca="1" si="4"/>
        <v>0</v>
      </c>
      <c r="J23" s="46">
        <f t="shared" ca="1" si="5"/>
        <v>1.5411847482200305</v>
      </c>
      <c r="K23" s="5" t="b">
        <f t="array" aca="1" ref="K23" ca="1">IFERROR(OR(ABS(I23)&gt;=4, ABS(J23)&gt;=4),FALSE())</f>
        <v>0</v>
      </c>
      <c r="L23" s="5">
        <f t="shared" ca="1" si="6"/>
        <v>2</v>
      </c>
      <c r="M23" s="7">
        <f t="shared" si="2"/>
        <v>0.93899999999999995</v>
      </c>
      <c r="N23" s="5">
        <f t="shared" si="7"/>
        <v>5</v>
      </c>
      <c r="O23" s="5" t="str">
        <f t="shared" si="3"/>
        <v>No</v>
      </c>
      <c r="P23" s="47"/>
    </row>
    <row r="24" spans="1:16" ht="15" customHeight="1" x14ac:dyDescent="0.35">
      <c r="A24" s="50">
        <f>'Raw-Data'!A20</f>
        <v>46205</v>
      </c>
      <c r="B24" s="51">
        <v>1</v>
      </c>
      <c r="C24" s="52">
        <f>'Raw-Data'!G20</f>
        <v>0.93289999999999995</v>
      </c>
      <c r="D24" s="52">
        <f ca="1">IF(NOT($K23),D23,AVERAGE(OFFSET($M23,-1*MAX($L23,N23),0):OFFSET($M23,0,0)))</f>
        <v>0.94650000000000001</v>
      </c>
      <c r="E24" s="53">
        <f ca="1">IF(NOT($K23),E23,IFERROR(STDEV(OFFSET($M23,-1*MAX($L23,N23),0):OFFSET($M23,0,0)),E23))</f>
        <v>7.2033325620854266E-3</v>
      </c>
      <c r="F24" s="52">
        <f t="shared" ca="1" si="0"/>
        <v>0.92489000231374374</v>
      </c>
      <c r="G24" s="54">
        <v>0.95</v>
      </c>
      <c r="H24" s="55">
        <f t="shared" ca="1" si="1"/>
        <v>-1.8880150101056474</v>
      </c>
      <c r="I24" s="55">
        <f t="shared" ca="1" si="4"/>
        <v>0</v>
      </c>
      <c r="J24" s="55">
        <f t="shared" ca="1" si="5"/>
        <v>3.9291997583256779</v>
      </c>
      <c r="K24" s="51" t="b">
        <f t="array" aca="1" ref="K24" ca="1">IFERROR(OR(ABS(I24)&gt;=4, ABS(J24)&gt;=4),FALSE())</f>
        <v>0</v>
      </c>
      <c r="L24" s="51">
        <f t="shared" ca="1" si="6"/>
        <v>3</v>
      </c>
      <c r="M24" s="52">
        <f t="shared" si="2"/>
        <v>0.93289999999999995</v>
      </c>
      <c r="N24" s="51">
        <f t="shared" si="7"/>
        <v>5</v>
      </c>
      <c r="O24" s="51" t="str">
        <f t="shared" si="3"/>
        <v>No</v>
      </c>
      <c r="P24" s="47"/>
    </row>
    <row r="25" spans="1:16" ht="15" customHeight="1" x14ac:dyDescent="0.35">
      <c r="A25" s="44">
        <f>'Raw-Data'!A19</f>
        <v>46206</v>
      </c>
      <c r="B25" s="5">
        <v>1</v>
      </c>
      <c r="C25" s="7">
        <f>'Raw-Data'!G19</f>
        <v>0.94530000000000003</v>
      </c>
      <c r="D25" s="7">
        <f ca="1">IF(NOT($K24),D24,AVERAGE(OFFSET($M24,-1*MAX($L24,N24),0):OFFSET($M24,0,0)))</f>
        <v>0.94650000000000001</v>
      </c>
      <c r="E25" s="45">
        <f ca="1">IF(NOT($K24),E24,IFERROR(STDEV(OFFSET($M24,-1*MAX($L24,N24),0):OFFSET($M24,0,0)),E24))</f>
        <v>7.2033325620854266E-3</v>
      </c>
      <c r="F25" s="7">
        <f t="shared" ca="1" si="0"/>
        <v>0.92489000231374374</v>
      </c>
      <c r="G25" s="6">
        <v>0.95</v>
      </c>
      <c r="H25" s="46">
        <f t="shared" ca="1" si="1"/>
        <v>-0.16658955971520056</v>
      </c>
      <c r="I25" s="46">
        <f t="shared" ca="1" si="4"/>
        <v>0</v>
      </c>
      <c r="J25" s="46">
        <f t="shared" ca="1" si="5"/>
        <v>4.5957893180408789</v>
      </c>
      <c r="K25" s="5" t="b">
        <f t="array" aca="1" ref="K25" ca="1">IFERROR(OR(ABS(I25)&gt;=4, ABS(J25)&gt;=4),FALSE())</f>
        <v>1</v>
      </c>
      <c r="L25" s="5">
        <f t="shared" ca="1" si="6"/>
        <v>4</v>
      </c>
      <c r="M25" s="7">
        <f t="shared" si="2"/>
        <v>0.94530000000000003</v>
      </c>
      <c r="N25" s="5">
        <f t="shared" si="7"/>
        <v>5</v>
      </c>
      <c r="O25" s="5" t="str">
        <f t="shared" si="3"/>
        <v>No</v>
      </c>
      <c r="P25" s="47"/>
    </row>
    <row r="26" spans="1:16" ht="15" customHeight="1" x14ac:dyDescent="0.35">
      <c r="A26" s="50">
        <f>'Raw-Data'!A18</f>
        <v>46207</v>
      </c>
      <c r="B26" s="51">
        <v>1</v>
      </c>
      <c r="C26" s="52">
        <f>'Raw-Data'!G18</f>
        <v>0.95199999999999996</v>
      </c>
      <c r="D26" s="52">
        <f ca="1">IF(NOT($K25),D25,AVERAGE(OFFSET($M25,-1*MAX($L25,N25),0):OFFSET($M25,0,0)))</f>
        <v>0.94414999999999993</v>
      </c>
      <c r="E26" s="53">
        <f ca="1">IF(NOT($K25),E25,IFERROR(STDEV(OFFSET($M25,-1*MAX($L25,N25),0):OFFSET($M25,0,0)),E25))</f>
        <v>1.0187590490395682E-2</v>
      </c>
      <c r="F26" s="52">
        <f t="shared" ca="1" si="0"/>
        <v>0.91358722852881291</v>
      </c>
      <c r="G26" s="54">
        <v>0.95</v>
      </c>
      <c r="H26" s="55">
        <f t="shared" ca="1" si="1"/>
        <v>0.77054530287613987</v>
      </c>
      <c r="I26" s="55">
        <f t="shared" ca="1" si="4"/>
        <v>0</v>
      </c>
      <c r="J26" s="55">
        <f t="shared" ca="1" si="5"/>
        <v>0</v>
      </c>
      <c r="K26" s="51" t="b">
        <f t="array" aca="1" ref="K26" ca="1">IFERROR(OR(ABS(I26)&gt;=4, ABS(J26)&gt;=4),FALSE())</f>
        <v>0</v>
      </c>
      <c r="L26" s="51">
        <f t="shared" ca="1" si="6"/>
        <v>0</v>
      </c>
      <c r="M26" s="52">
        <f t="shared" si="2"/>
        <v>0.95199999999999996</v>
      </c>
      <c r="N26" s="51">
        <f t="shared" si="7"/>
        <v>5</v>
      </c>
      <c r="O26" s="51" t="str">
        <f t="shared" si="3"/>
        <v>Yes</v>
      </c>
      <c r="P26" s="47"/>
    </row>
    <row r="27" spans="1:16" ht="15" customHeight="1" x14ac:dyDescent="0.35">
      <c r="A27" s="44">
        <f>'Raw-Data'!A17</f>
        <v>46208</v>
      </c>
      <c r="B27" s="5">
        <v>1</v>
      </c>
      <c r="C27" s="7">
        <f>'Raw-Data'!G17</f>
        <v>0.95179999999999998</v>
      </c>
      <c r="D27" s="7">
        <f ca="1">IF(NOT($K26),D26,AVERAGE(OFFSET($M26,-1*MAX($L26,N26),0):OFFSET($M26,0,0)))</f>
        <v>0.94414999999999993</v>
      </c>
      <c r="E27" s="45">
        <f ca="1">IF(NOT($K26),E26,IFERROR(STDEV(OFFSET($M26,-1*MAX($L26,N26),0):OFFSET($M26,0,0)),E26))</f>
        <v>1.0187590490395682E-2</v>
      </c>
      <c r="F27" s="7">
        <f t="shared" ca="1" si="0"/>
        <v>0.91358722852881291</v>
      </c>
      <c r="G27" s="6">
        <v>0.95</v>
      </c>
      <c r="H27" s="46">
        <f t="shared" ca="1" si="1"/>
        <v>0.75091357541432968</v>
      </c>
      <c r="I27" s="46">
        <f t="shared" ca="1" si="4"/>
        <v>0.25091357541432968</v>
      </c>
      <c r="J27" s="46">
        <f t="shared" ca="1" si="5"/>
        <v>0</v>
      </c>
      <c r="K27" s="5" t="b">
        <f t="array" aca="1" ref="K27" ca="1">IFERROR(OR(ABS(I27)&gt;=4, ABS(J27)&gt;=4),FALSE())</f>
        <v>0</v>
      </c>
      <c r="L27" s="5">
        <f t="shared" ca="1" si="6"/>
        <v>1</v>
      </c>
      <c r="M27" s="7">
        <f t="shared" si="2"/>
        <v>0.95179999999999998</v>
      </c>
      <c r="N27" s="5">
        <f t="shared" si="7"/>
        <v>5</v>
      </c>
      <c r="O27" s="5" t="str">
        <f t="shared" si="3"/>
        <v>Yes</v>
      </c>
      <c r="P27" s="47"/>
    </row>
    <row r="28" spans="1:16" ht="15" customHeight="1" x14ac:dyDescent="0.35">
      <c r="A28" s="50">
        <f>'Raw-Data'!A16</f>
        <v>46209</v>
      </c>
      <c r="B28" s="51">
        <v>1</v>
      </c>
      <c r="C28" s="52">
        <f>'Raw-Data'!G16</f>
        <v>0.93799999999999994</v>
      </c>
      <c r="D28" s="52">
        <f ca="1">IF(NOT($K27),D27,AVERAGE(OFFSET($M27,-1*MAX($L27,N27),0):OFFSET($M27,0,0)))</f>
        <v>0.94414999999999993</v>
      </c>
      <c r="E28" s="53">
        <f ca="1">IF(NOT($K27),E27,IFERROR(STDEV(OFFSET($M27,-1*MAX($L27,N27),0):OFFSET($M27,0,0)),E27))</f>
        <v>1.0187590490395682E-2</v>
      </c>
      <c r="F28" s="52">
        <f t="shared" ca="1" si="0"/>
        <v>0.91358722852881291</v>
      </c>
      <c r="G28" s="54">
        <v>0.95</v>
      </c>
      <c r="H28" s="55">
        <f t="shared" ca="1" si="1"/>
        <v>-0.60367561945073089</v>
      </c>
      <c r="I28" s="55">
        <f t="shared" ca="1" si="4"/>
        <v>0</v>
      </c>
      <c r="J28" s="55">
        <f t="shared" ca="1" si="5"/>
        <v>1.1036756194507309</v>
      </c>
      <c r="K28" s="51" t="b">
        <f t="array" aca="1" ref="K28" ca="1">IFERROR(OR(ABS(I28)&gt;=4, ABS(J28)&gt;=4),FALSE())</f>
        <v>0</v>
      </c>
      <c r="L28" s="51">
        <f t="shared" ca="1" si="6"/>
        <v>2</v>
      </c>
      <c r="M28" s="52">
        <f t="shared" si="2"/>
        <v>0.93799999999999994</v>
      </c>
      <c r="N28" s="51">
        <f t="shared" si="7"/>
        <v>5</v>
      </c>
      <c r="O28" s="51" t="str">
        <f t="shared" si="3"/>
        <v>No</v>
      </c>
      <c r="P28" s="47"/>
    </row>
    <row r="29" spans="1:16" ht="15" customHeight="1" x14ac:dyDescent="0.35">
      <c r="A29" s="44">
        <f>'Raw-Data'!A15</f>
        <v>46210</v>
      </c>
      <c r="B29" s="5">
        <v>1</v>
      </c>
      <c r="C29" s="7">
        <f>'Raw-Data'!G15</f>
        <v>0.93889999999999996</v>
      </c>
      <c r="D29" s="7">
        <f ca="1">IF(NOT($K28),D28,AVERAGE(OFFSET($M28,-1*MAX($L28,N28),0):OFFSET($M28,0,0)))</f>
        <v>0.94414999999999993</v>
      </c>
      <c r="E29" s="45">
        <f ca="1">IF(NOT($K28),E28,IFERROR(STDEV(OFFSET($M28,-1*MAX($L28,N28),0):OFFSET($M28,0,0)),E28))</f>
        <v>1.0187590490395682E-2</v>
      </c>
      <c r="F29" s="7">
        <f t="shared" ca="1" si="0"/>
        <v>0.91358722852881291</v>
      </c>
      <c r="G29" s="6">
        <v>0.95</v>
      </c>
      <c r="H29" s="46">
        <f t="shared" ca="1" si="1"/>
        <v>-0.51533284587257377</v>
      </c>
      <c r="I29" s="46">
        <f t="shared" ca="1" si="4"/>
        <v>0</v>
      </c>
      <c r="J29" s="46">
        <f t="shared" ca="1" si="5"/>
        <v>2.1190084653233048</v>
      </c>
      <c r="K29" s="5" t="b">
        <f t="array" aca="1" ref="K29" ca="1">IFERROR(OR(ABS(I29)&gt;=4, ABS(J29)&gt;=4),FALSE())</f>
        <v>0</v>
      </c>
      <c r="L29" s="5">
        <f t="shared" ca="1" si="6"/>
        <v>3</v>
      </c>
      <c r="M29" s="7">
        <f t="shared" si="2"/>
        <v>0.93889999999999996</v>
      </c>
      <c r="N29" s="5">
        <f t="shared" si="7"/>
        <v>5</v>
      </c>
      <c r="O29" s="5" t="str">
        <f t="shared" si="3"/>
        <v>No</v>
      </c>
      <c r="P29" s="47"/>
    </row>
    <row r="30" spans="1:16" ht="15" customHeight="1" x14ac:dyDescent="0.35">
      <c r="A30" s="50">
        <f>'Raw-Data'!A14</f>
        <v>46211</v>
      </c>
      <c r="B30" s="51">
        <v>1</v>
      </c>
      <c r="C30" s="52">
        <f>'Raw-Data'!G14</f>
        <v>0.95840000000000003</v>
      </c>
      <c r="D30" s="52">
        <f ca="1">IF(NOT($K29),D29,AVERAGE(OFFSET($M29,-1*MAX($L29,N29),0):OFFSET($M29,0,0)))</f>
        <v>0.94414999999999993</v>
      </c>
      <c r="E30" s="53">
        <f ca="1">IF(NOT($K29),E29,IFERROR(STDEV(OFFSET($M29,-1*MAX($L29,N29),0):OFFSET($M29,0,0)),E29))</f>
        <v>1.0187590490395682E-2</v>
      </c>
      <c r="F30" s="52">
        <f t="shared" ca="1" si="0"/>
        <v>0.91358722852881291</v>
      </c>
      <c r="G30" s="54">
        <v>0.95</v>
      </c>
      <c r="H30" s="55">
        <f t="shared" ca="1" si="1"/>
        <v>1.3987605816541446</v>
      </c>
      <c r="I30" s="55">
        <f t="shared" ca="1" si="4"/>
        <v>0.89876058165414463</v>
      </c>
      <c r="J30" s="55">
        <f t="shared" ca="1" si="5"/>
        <v>1.2202478836691601</v>
      </c>
      <c r="K30" s="51" t="b">
        <f t="array" aca="1" ref="K30" ca="1">IFERROR(OR(ABS(I30)&gt;=4, ABS(J30)&gt;=4),FALSE())</f>
        <v>0</v>
      </c>
      <c r="L30" s="51">
        <f t="shared" ca="1" si="6"/>
        <v>4</v>
      </c>
      <c r="M30" s="52">
        <f t="shared" si="2"/>
        <v>0.95840000000000003</v>
      </c>
      <c r="N30" s="51">
        <f t="shared" si="7"/>
        <v>5</v>
      </c>
      <c r="O30" s="51" t="str">
        <f t="shared" si="3"/>
        <v>Yes</v>
      </c>
      <c r="P30" s="47"/>
    </row>
    <row r="31" spans="1:16" ht="15" customHeight="1" x14ac:dyDescent="0.35">
      <c r="A31" s="44">
        <f>'Raw-Data'!A13</f>
        <v>46212</v>
      </c>
      <c r="B31" s="5">
        <v>1</v>
      </c>
      <c r="C31" s="7">
        <f>'Raw-Data'!G13</f>
        <v>0.95050000000000001</v>
      </c>
      <c r="D31" s="7">
        <f ca="1">IF(NOT($K30),D30,AVERAGE(OFFSET($M30,-1*MAX($L30,N30),0):OFFSET($M30,0,0)))</f>
        <v>0.94414999999999993</v>
      </c>
      <c r="E31" s="45">
        <f ca="1">IF(NOT($K30),E30,IFERROR(STDEV(OFFSET($M30,-1*MAX($L30,N30),0):OFFSET($M30,0,0)),E30))</f>
        <v>1.0187590490395682E-2</v>
      </c>
      <c r="F31" s="7">
        <f t="shared" ca="1" si="0"/>
        <v>0.91358722852881291</v>
      </c>
      <c r="G31" s="6">
        <v>0.95</v>
      </c>
      <c r="H31" s="46">
        <f t="shared" ca="1" si="1"/>
        <v>0.62330734691255207</v>
      </c>
      <c r="I31" s="46">
        <f t="shared" ca="1" si="4"/>
        <v>1.0220679285666967</v>
      </c>
      <c r="J31" s="46">
        <f t="shared" ca="1" si="5"/>
        <v>1.0969405367566081</v>
      </c>
      <c r="K31" s="5" t="b">
        <f t="array" aca="1" ref="K31" ca="1">IFERROR(OR(ABS(I31)&gt;=4, ABS(J31)&gt;=4),FALSE())</f>
        <v>0</v>
      </c>
      <c r="L31" s="5">
        <f t="shared" ca="1" si="6"/>
        <v>5</v>
      </c>
      <c r="M31" s="7">
        <f t="shared" si="2"/>
        <v>0.95050000000000001</v>
      </c>
      <c r="N31" s="5">
        <f t="shared" si="7"/>
        <v>5</v>
      </c>
      <c r="O31" s="5" t="str">
        <f t="shared" si="3"/>
        <v>Yes</v>
      </c>
      <c r="P31" s="47"/>
    </row>
    <row r="32" spans="1:16" ht="15" customHeight="1" x14ac:dyDescent="0.35">
      <c r="A32" s="50">
        <f>'Raw-Data'!A12</f>
        <v>46213</v>
      </c>
      <c r="B32" s="51">
        <v>1</v>
      </c>
      <c r="C32" s="52">
        <f>'Raw-Data'!G12</f>
        <v>0.95220000000000005</v>
      </c>
      <c r="D32" s="52">
        <f ca="1">IF(NOT($K31),D31,AVERAGE(OFFSET($M31,-1*MAX($L31,N31),0):OFFSET($M31,0,0)))</f>
        <v>0.94414999999999993</v>
      </c>
      <c r="E32" s="53">
        <f ca="1">IF(NOT($K31),E31,IFERROR(STDEV(OFFSET($M31,-1*MAX($L31,N31),0):OFFSET($M31,0,0)),E31))</f>
        <v>1.0187590490395682E-2</v>
      </c>
      <c r="F32" s="52">
        <f t="shared" ca="1" si="0"/>
        <v>0.91358722852881291</v>
      </c>
      <c r="G32" s="54">
        <v>0.95</v>
      </c>
      <c r="H32" s="55">
        <f t="shared" ca="1" si="1"/>
        <v>0.79017703033796105</v>
      </c>
      <c r="I32" s="55">
        <f t="shared" ca="1" si="4"/>
        <v>1.3122449589046576</v>
      </c>
      <c r="J32" s="55">
        <f t="shared" ca="1" si="5"/>
        <v>0.80676350641864703</v>
      </c>
      <c r="K32" s="51" t="b">
        <f t="array" aca="1" ref="K32" ca="1">IFERROR(OR(ABS(I32)&gt;=4, ABS(J32)&gt;=4),FALSE())</f>
        <v>0</v>
      </c>
      <c r="L32" s="51">
        <f t="shared" ca="1" si="6"/>
        <v>6</v>
      </c>
      <c r="M32" s="52">
        <f t="shared" si="2"/>
        <v>0.95220000000000005</v>
      </c>
      <c r="N32" s="51">
        <f t="shared" si="7"/>
        <v>5</v>
      </c>
      <c r="O32" s="51" t="str">
        <f t="shared" si="3"/>
        <v>Yes</v>
      </c>
      <c r="P32" s="47"/>
    </row>
    <row r="33" spans="1:16" ht="15" customHeight="1" x14ac:dyDescent="0.35">
      <c r="A33" s="44">
        <f>'Raw-Data'!A11</f>
        <v>46214</v>
      </c>
      <c r="B33" s="5">
        <v>1</v>
      </c>
      <c r="C33" s="7">
        <f>'Raw-Data'!G11</f>
        <v>0.95530000000000004</v>
      </c>
      <c r="D33" s="7">
        <f ca="1">IF(NOT($K32),D32,AVERAGE(OFFSET($M32,-1*MAX($L32,N32),0):OFFSET($M32,0,0)))</f>
        <v>0.94414999999999993</v>
      </c>
      <c r="E33" s="45">
        <f ca="1">IF(NOT($K32),E32,IFERROR(STDEV(OFFSET($M32,-1*MAX($L32,N32),0):OFFSET($M32,0,0)),E32))</f>
        <v>1.0187590490395682E-2</v>
      </c>
      <c r="F33" s="7">
        <f t="shared" ca="1" si="0"/>
        <v>0.91358722852881291</v>
      </c>
      <c r="G33" s="6">
        <v>0.95</v>
      </c>
      <c r="H33" s="46">
        <f t="shared" ca="1" si="1"/>
        <v>1.0944688059960528</v>
      </c>
      <c r="I33" s="46">
        <f t="shared" ca="1" si="4"/>
        <v>1.9067137649007107</v>
      </c>
      <c r="J33" s="46">
        <f t="shared" ca="1" si="5"/>
        <v>0.21229470042259424</v>
      </c>
      <c r="K33" s="5" t="b">
        <f t="array" aca="1" ref="K33" ca="1">IFERROR(OR(ABS(I33)&gt;=4, ABS(J33)&gt;=4),FALSE())</f>
        <v>0</v>
      </c>
      <c r="L33" s="5">
        <f t="shared" ca="1" si="6"/>
        <v>7</v>
      </c>
      <c r="M33" s="7">
        <f t="shared" si="2"/>
        <v>0.95530000000000004</v>
      </c>
      <c r="N33" s="5">
        <f t="shared" si="7"/>
        <v>5</v>
      </c>
      <c r="O33" s="5" t="str">
        <f t="shared" si="3"/>
        <v>Yes</v>
      </c>
      <c r="P33" s="47"/>
    </row>
    <row r="34" spans="1:16" ht="15" customHeight="1" x14ac:dyDescent="0.35">
      <c r="A34" s="50">
        <f>'Raw-Data'!A10</f>
        <v>46215</v>
      </c>
      <c r="B34" s="51">
        <v>1</v>
      </c>
      <c r="C34" s="52">
        <f>'Raw-Data'!G10</f>
        <v>0.95809999999999995</v>
      </c>
      <c r="D34" s="52">
        <f ca="1">IF(NOT($K33),D33,AVERAGE(OFFSET($M33,-1*MAX($L33,N33),0):OFFSET($M33,0,0)))</f>
        <v>0.94414999999999993</v>
      </c>
      <c r="E34" s="53">
        <f ca="1">IF(NOT($K33),E33,IFERROR(STDEV(OFFSET($M33,-1*MAX($L33,N33),0):OFFSET($M33,0,0)),E33))</f>
        <v>1.0187590490395682E-2</v>
      </c>
      <c r="F34" s="52">
        <f t="shared" ca="1" si="0"/>
        <v>0.91358722852881291</v>
      </c>
      <c r="G34" s="54">
        <v>0.95</v>
      </c>
      <c r="H34" s="55">
        <f t="shared" ca="1" si="1"/>
        <v>1.3693129904614183</v>
      </c>
      <c r="I34" s="55">
        <f t="shared" ca="1" si="4"/>
        <v>2.7760267553621292</v>
      </c>
      <c r="J34" s="55">
        <f t="shared" ca="1" si="5"/>
        <v>0</v>
      </c>
      <c r="K34" s="51" t="b">
        <f t="array" aca="1" ref="K34" ca="1">IFERROR(OR(ABS(I34)&gt;=4, ABS(J34)&gt;=4),FALSE())</f>
        <v>0</v>
      </c>
      <c r="L34" s="51">
        <f t="shared" ca="1" si="6"/>
        <v>8</v>
      </c>
      <c r="M34" s="52">
        <f t="shared" si="2"/>
        <v>0.95809999999999995</v>
      </c>
      <c r="N34" s="51">
        <f t="shared" si="7"/>
        <v>5</v>
      </c>
      <c r="O34" s="51" t="str">
        <f t="shared" si="3"/>
        <v>Yes</v>
      </c>
      <c r="P34" s="47"/>
    </row>
    <row r="35" spans="1:16" ht="15" customHeight="1" x14ac:dyDescent="0.35">
      <c r="A35" s="44">
        <f>'Raw-Data'!A9</f>
        <v>46216</v>
      </c>
      <c r="B35" s="5">
        <v>1</v>
      </c>
      <c r="C35" s="7">
        <f>'Raw-Data'!G9</f>
        <v>0.95109999999999995</v>
      </c>
      <c r="D35" s="7">
        <f ca="1">IF(NOT($K34),D34,AVERAGE(OFFSET($M34,-1*MAX($L34,N34),0):OFFSET($M34,0,0)))</f>
        <v>0.94414999999999993</v>
      </c>
      <c r="E35" s="45">
        <f ca="1">IF(NOT($K34),E34,IFERROR(STDEV(OFFSET($M34,-1*MAX($L34,N34),0):OFFSET($M34,0,0)),E34))</f>
        <v>1.0187590490395682E-2</v>
      </c>
      <c r="F35" s="7">
        <f t="shared" ca="1" si="0"/>
        <v>0.91358722852881291</v>
      </c>
      <c r="G35" s="6">
        <v>0.95</v>
      </c>
      <c r="H35" s="46">
        <f t="shared" ca="1" si="1"/>
        <v>0.68220252929798286</v>
      </c>
      <c r="I35" s="46">
        <f t="shared" ca="1" si="4"/>
        <v>2.9582292846601121</v>
      </c>
      <c r="J35" s="46">
        <f t="shared" ca="1" si="5"/>
        <v>0</v>
      </c>
      <c r="K35" s="5" t="b">
        <f t="array" aca="1" ref="K35" ca="1">IFERROR(OR(ABS(I35)&gt;=4, ABS(J35)&gt;=4),FALSE())</f>
        <v>0</v>
      </c>
      <c r="L35" s="5">
        <f t="shared" ca="1" si="6"/>
        <v>9</v>
      </c>
      <c r="M35" s="7">
        <f t="shared" si="2"/>
        <v>0.95109999999999995</v>
      </c>
      <c r="N35" s="5">
        <f t="shared" si="7"/>
        <v>5</v>
      </c>
      <c r="O35" s="5" t="str">
        <f t="shared" si="3"/>
        <v>Yes</v>
      </c>
      <c r="P35" s="47"/>
    </row>
    <row r="36" spans="1:16" ht="15" customHeight="1" x14ac:dyDescent="0.35">
      <c r="A36" s="50">
        <f>'Raw-Data'!A8</f>
        <v>46217</v>
      </c>
      <c r="B36" s="51">
        <v>1</v>
      </c>
      <c r="C36" s="52">
        <f>'Raw-Data'!G8</f>
        <v>0.94820000000000004</v>
      </c>
      <c r="D36" s="52">
        <f ca="1">IF(NOT($K35),D35,AVERAGE(OFFSET($M35,-1*MAX($L35,N35),0):OFFSET($M35,0,0)))</f>
        <v>0.94414999999999993</v>
      </c>
      <c r="E36" s="53">
        <f ca="1">IF(NOT($K35),E35,IFERROR(STDEV(OFFSET($M35,-1*MAX($L35,N35),0):OFFSET($M35,0,0)),E35))</f>
        <v>1.0187590490395682E-2</v>
      </c>
      <c r="F36" s="52">
        <f t="shared" ca="1" si="0"/>
        <v>0.91358722852881291</v>
      </c>
      <c r="G36" s="54">
        <v>0.95</v>
      </c>
      <c r="H36" s="55">
        <f t="shared" ca="1" si="1"/>
        <v>0.39754248110171225</v>
      </c>
      <c r="I36" s="55">
        <f t="shared" ca="1" si="4"/>
        <v>2.8557717657618245</v>
      </c>
      <c r="J36" s="55">
        <f t="shared" ca="1" si="5"/>
        <v>0.10245751889828775</v>
      </c>
      <c r="K36" s="51" t="b">
        <f t="array" aca="1" ref="K36" ca="1">IFERROR(OR(ABS(I36)&gt;=4, ABS(J36)&gt;=4),FALSE())</f>
        <v>0</v>
      </c>
      <c r="L36" s="51">
        <f t="shared" ca="1" si="6"/>
        <v>10</v>
      </c>
      <c r="M36" s="52">
        <f t="shared" si="2"/>
        <v>0.94820000000000004</v>
      </c>
      <c r="N36" s="51">
        <f t="shared" si="7"/>
        <v>5</v>
      </c>
      <c r="O36" s="51" t="str">
        <f t="shared" si="3"/>
        <v>No</v>
      </c>
      <c r="P36" s="47"/>
    </row>
    <row r="37" spans="1:16" ht="15" customHeight="1" x14ac:dyDescent="0.35">
      <c r="A37" s="44">
        <f>'Raw-Data'!A7</f>
        <v>46218</v>
      </c>
      <c r="B37" s="5">
        <v>1</v>
      </c>
      <c r="C37" s="7">
        <f>'Raw-Data'!G7</f>
        <v>0.94340000000000002</v>
      </c>
      <c r="D37" s="7">
        <f ca="1">IF(NOT($K36),D36,AVERAGE(OFFSET($M36,-1*MAX($L36,N36),0):OFFSET($M36,0,0)))</f>
        <v>0.94414999999999993</v>
      </c>
      <c r="E37" s="45">
        <f ca="1">IF(NOT($K36),E36,IFERROR(STDEV(OFFSET($M36,-1*MAX($L36,N36),0):OFFSET($M36,0,0)),E36))</f>
        <v>1.0187590490395682E-2</v>
      </c>
      <c r="F37" s="7">
        <f t="shared" ca="1" si="0"/>
        <v>0.91358722852881291</v>
      </c>
      <c r="G37" s="6">
        <v>0.95</v>
      </c>
      <c r="H37" s="46">
        <f t="shared" ca="1" si="1"/>
        <v>-7.3618977981788472E-2</v>
      </c>
      <c r="I37" s="46">
        <f t="shared" ca="1" si="4"/>
        <v>2.2821527877800358</v>
      </c>
      <c r="J37" s="46">
        <f t="shared" ca="1" si="5"/>
        <v>0.67607649688007621</v>
      </c>
      <c r="K37" s="5" t="b">
        <f t="array" aca="1" ref="K37" ca="1">IFERROR(OR(ABS(I37)&gt;=4, ABS(J37)&gt;=4),FALSE())</f>
        <v>0</v>
      </c>
      <c r="L37" s="5">
        <f t="shared" ca="1" si="6"/>
        <v>11</v>
      </c>
      <c r="M37" s="7">
        <f t="shared" si="2"/>
        <v>0.94340000000000002</v>
      </c>
      <c r="N37" s="5">
        <f t="shared" si="7"/>
        <v>5</v>
      </c>
      <c r="O37" s="5" t="str">
        <f t="shared" si="3"/>
        <v>No</v>
      </c>
      <c r="P37" s="47"/>
    </row>
    <row r="38" spans="1:16" ht="15" customHeight="1" x14ac:dyDescent="0.35">
      <c r="A38" s="50">
        <f>'Raw-Data'!A6</f>
        <v>46219</v>
      </c>
      <c r="B38" s="51">
        <v>1</v>
      </c>
      <c r="C38" s="52">
        <f>'Raw-Data'!G6</f>
        <v>0.94850000000000001</v>
      </c>
      <c r="D38" s="52">
        <f ca="1">IF(NOT($K37),D37,AVERAGE(OFFSET($M37,-1*MAX($L37,N37),0):OFFSET($M37,0,0)))</f>
        <v>0.94414999999999993</v>
      </c>
      <c r="E38" s="53">
        <f ca="1">IF(NOT($K37),E37,IFERROR(STDEV(OFFSET($M37,-1*MAX($L37,N37),0):OFFSET($M37,0,0)),E37))</f>
        <v>1.0187590490395682E-2</v>
      </c>
      <c r="F38" s="52">
        <f t="shared" ca="1" si="0"/>
        <v>0.91358722852881291</v>
      </c>
      <c r="G38" s="54">
        <v>0.95</v>
      </c>
      <c r="H38" s="55">
        <f t="shared" ca="1" si="1"/>
        <v>0.42699007229442765</v>
      </c>
      <c r="I38" s="55">
        <f t="shared" ca="1" si="4"/>
        <v>2.2091428600744636</v>
      </c>
      <c r="J38" s="55">
        <f t="shared" ca="1" si="5"/>
        <v>0.74908642458564856</v>
      </c>
      <c r="K38" s="51" t="b">
        <f t="array" aca="1" ref="K38" ca="1">IFERROR(OR(ABS(I38)&gt;=4, ABS(J38)&gt;=4),FALSE())</f>
        <v>0</v>
      </c>
      <c r="L38" s="51">
        <f t="shared" ca="1" si="6"/>
        <v>12</v>
      </c>
      <c r="M38" s="52">
        <f t="shared" si="2"/>
        <v>0.94850000000000001</v>
      </c>
      <c r="N38" s="51">
        <f t="shared" si="7"/>
        <v>5</v>
      </c>
      <c r="O38" s="51" t="str">
        <f t="shared" si="3"/>
        <v>No</v>
      </c>
      <c r="P38" s="47"/>
    </row>
    <row r="41" spans="1:16" ht="15.5" x14ac:dyDescent="0.35">
      <c r="A41" s="66" t="s">
        <v>53</v>
      </c>
      <c r="B41" s="66"/>
      <c r="C41" s="66"/>
      <c r="D41" s="66"/>
      <c r="E41" s="66"/>
      <c r="F41" s="66"/>
      <c r="G41" s="66"/>
      <c r="H41" s="66"/>
      <c r="I41" s="66"/>
      <c r="J41" s="66"/>
      <c r="K41" s="66"/>
      <c r="L41" s="66"/>
      <c r="M41" s="66"/>
      <c r="N41" s="66"/>
      <c r="O41" s="66"/>
    </row>
    <row r="43" spans="1:16" x14ac:dyDescent="0.35">
      <c r="A43" s="67" t="s">
        <v>54</v>
      </c>
      <c r="B43" s="67"/>
      <c r="C43" s="67"/>
      <c r="D43" s="67"/>
      <c r="E43" s="67"/>
      <c r="F43" s="67"/>
      <c r="G43" s="67"/>
      <c r="H43" s="67"/>
      <c r="I43" s="67"/>
      <c r="J43" s="67"/>
      <c r="K43" s="67"/>
      <c r="L43" s="67"/>
      <c r="M43" s="67"/>
      <c r="N43" s="67"/>
      <c r="O43" s="67"/>
    </row>
    <row r="44" spans="1:16" ht="15" customHeight="1" x14ac:dyDescent="0.35">
      <c r="A44" s="65" t="s">
        <v>75</v>
      </c>
      <c r="B44" s="65"/>
      <c r="C44" s="65"/>
      <c r="D44" s="65"/>
      <c r="E44" s="65"/>
      <c r="F44" s="65"/>
      <c r="G44" s="65"/>
      <c r="H44" s="65"/>
      <c r="I44" s="65"/>
      <c r="J44" s="65"/>
      <c r="K44" s="65"/>
      <c r="L44" s="65"/>
      <c r="M44" s="65"/>
      <c r="N44" s="65"/>
      <c r="O44" s="65"/>
    </row>
    <row r="45" spans="1:16" x14ac:dyDescent="0.35">
      <c r="A45" s="65"/>
      <c r="B45" s="65"/>
      <c r="C45" s="65"/>
      <c r="D45" s="65"/>
      <c r="E45" s="65"/>
      <c r="F45" s="65"/>
      <c r="G45" s="65"/>
      <c r="H45" s="65"/>
      <c r="I45" s="65"/>
      <c r="J45" s="65"/>
      <c r="K45" s="65"/>
      <c r="L45" s="65"/>
      <c r="M45" s="65"/>
      <c r="N45" s="65"/>
      <c r="O45" s="65"/>
    </row>
    <row r="46" spans="1:16" x14ac:dyDescent="0.35">
      <c r="A46" s="65"/>
      <c r="B46" s="65"/>
      <c r="C46" s="65"/>
      <c r="D46" s="65"/>
      <c r="E46" s="65"/>
      <c r="F46" s="65"/>
      <c r="G46" s="65"/>
      <c r="H46" s="65"/>
      <c r="I46" s="65"/>
      <c r="J46" s="65"/>
      <c r="K46" s="65"/>
      <c r="L46" s="65"/>
      <c r="M46" s="65"/>
      <c r="N46" s="65"/>
      <c r="O46" s="65"/>
    </row>
    <row r="47" spans="1:16" x14ac:dyDescent="0.35">
      <c r="A47" s="65"/>
      <c r="B47" s="65"/>
      <c r="C47" s="65"/>
      <c r="D47" s="65"/>
      <c r="E47" s="65"/>
      <c r="F47" s="65"/>
      <c r="G47" s="65"/>
      <c r="H47" s="65"/>
      <c r="I47" s="65"/>
      <c r="J47" s="65"/>
      <c r="K47" s="65"/>
      <c r="L47" s="65"/>
      <c r="M47" s="65"/>
      <c r="N47" s="65"/>
      <c r="O47" s="65"/>
    </row>
    <row r="50" spans="1:15" x14ac:dyDescent="0.35">
      <c r="A50" s="67" t="s">
        <v>56</v>
      </c>
      <c r="B50" s="67"/>
      <c r="C50" s="67"/>
      <c r="D50" s="67"/>
      <c r="E50" s="67"/>
      <c r="F50" s="67"/>
      <c r="G50" s="67"/>
      <c r="H50" s="67"/>
      <c r="I50" s="67"/>
      <c r="J50" s="67"/>
      <c r="K50" s="67"/>
      <c r="L50" s="67"/>
      <c r="M50" s="67"/>
      <c r="N50" s="67"/>
      <c r="O50" s="67"/>
    </row>
    <row r="51" spans="1:15" ht="15" customHeight="1" x14ac:dyDescent="0.35">
      <c r="A51" s="65" t="s">
        <v>76</v>
      </c>
      <c r="B51" s="65"/>
      <c r="C51" s="65"/>
      <c r="D51" s="65"/>
      <c r="E51" s="65"/>
      <c r="F51" s="65"/>
      <c r="G51" s="65"/>
      <c r="H51" s="65"/>
      <c r="I51" s="65"/>
      <c r="J51" s="65"/>
      <c r="K51" s="65"/>
      <c r="L51" s="65"/>
      <c r="M51" s="65"/>
      <c r="N51" s="65"/>
      <c r="O51" s="65"/>
    </row>
    <row r="52" spans="1:15" x14ac:dyDescent="0.35">
      <c r="A52" s="65"/>
      <c r="B52" s="65"/>
      <c r="C52" s="65"/>
      <c r="D52" s="65"/>
      <c r="E52" s="65"/>
      <c r="F52" s="65"/>
      <c r="G52" s="65"/>
      <c r="H52" s="65"/>
      <c r="I52" s="65"/>
      <c r="J52" s="65"/>
      <c r="K52" s="65"/>
      <c r="L52" s="65"/>
      <c r="M52" s="65"/>
      <c r="N52" s="65"/>
      <c r="O52" s="65"/>
    </row>
    <row r="53" spans="1:15" x14ac:dyDescent="0.35">
      <c r="A53" s="65"/>
      <c r="B53" s="65"/>
      <c r="C53" s="65"/>
      <c r="D53" s="65"/>
      <c r="E53" s="65"/>
      <c r="F53" s="65"/>
      <c r="G53" s="65"/>
      <c r="H53" s="65"/>
      <c r="I53" s="65"/>
      <c r="J53" s="65"/>
      <c r="K53" s="65"/>
      <c r="L53" s="65"/>
      <c r="M53" s="65"/>
      <c r="N53" s="65"/>
      <c r="O53" s="65"/>
    </row>
    <row r="54" spans="1:15" x14ac:dyDescent="0.35">
      <c r="A54" s="65"/>
      <c r="B54" s="65"/>
      <c r="C54" s="65"/>
      <c r="D54" s="65"/>
      <c r="E54" s="65"/>
      <c r="F54" s="65"/>
      <c r="G54" s="65"/>
      <c r="H54" s="65"/>
      <c r="I54" s="65"/>
      <c r="J54" s="65"/>
      <c r="K54" s="65"/>
      <c r="L54" s="65"/>
      <c r="M54" s="65"/>
      <c r="N54" s="65"/>
      <c r="O54" s="65"/>
    </row>
  </sheetData>
  <mergeCells count="8">
    <mergeCell ref="A51:O54"/>
    <mergeCell ref="A1:O1"/>
    <mergeCell ref="A2:O2"/>
    <mergeCell ref="R4:S4"/>
    <mergeCell ref="A41:O41"/>
    <mergeCell ref="A43:O43"/>
    <mergeCell ref="A44:O47"/>
    <mergeCell ref="A50:O50"/>
  </mergeCells>
  <conditionalFormatting sqref="K5:K38">
    <cfRule type="cellIs" dxfId="2" priority="2" operator="equal">
      <formula>1</formula>
    </cfRule>
  </conditionalFormatting>
  <conditionalFormatting sqref="O5:O38">
    <cfRule type="cellIs" dxfId="1" priority="3" operator="equal">
      <formula>"No"</formula>
    </cfRule>
    <cfRule type="cellIs" dxfId="0" priority="4" operator="equal">
      <formula>"Yes"</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64"/>
  <sheetViews>
    <sheetView zoomScale="70" zoomScaleNormal="70" workbookViewId="0">
      <selection sqref="A1:R1"/>
    </sheetView>
  </sheetViews>
  <sheetFormatPr defaultColWidth="8.6328125" defaultRowHeight="14.5" x14ac:dyDescent="0.35"/>
  <sheetData>
    <row r="1" spans="1:18" ht="18" x14ac:dyDescent="0.4">
      <c r="A1" s="68" t="s">
        <v>77</v>
      </c>
      <c r="B1" s="68"/>
      <c r="C1" s="68"/>
      <c r="D1" s="68"/>
      <c r="E1" s="68"/>
      <c r="F1" s="68"/>
      <c r="G1" s="68"/>
      <c r="H1" s="68"/>
      <c r="I1" s="68"/>
      <c r="J1" s="68"/>
      <c r="K1" s="68"/>
      <c r="L1" s="68"/>
      <c r="M1" s="68"/>
      <c r="N1" s="68"/>
      <c r="O1" s="68"/>
      <c r="P1" s="68"/>
      <c r="Q1" s="68"/>
      <c r="R1" s="68"/>
    </row>
    <row r="2" spans="1:18" x14ac:dyDescent="0.35">
      <c r="A2" s="63" t="s">
        <v>78</v>
      </c>
      <c r="B2" s="63"/>
      <c r="C2" s="63"/>
      <c r="D2" s="63"/>
      <c r="E2" s="63"/>
      <c r="F2" s="63"/>
      <c r="G2" s="63"/>
      <c r="H2" s="63"/>
      <c r="I2" s="63"/>
      <c r="J2" s="63"/>
      <c r="K2" s="63"/>
      <c r="L2" s="63"/>
      <c r="M2" s="63"/>
      <c r="N2" s="63"/>
      <c r="O2" s="63"/>
      <c r="P2" s="63"/>
      <c r="Q2" s="63"/>
      <c r="R2" s="63"/>
    </row>
    <row r="4" spans="1:18" ht="15.5" x14ac:dyDescent="0.35">
      <c r="A4" s="2" t="s">
        <v>79</v>
      </c>
    </row>
    <row r="24" spans="1:1" ht="15.5" x14ac:dyDescent="0.35">
      <c r="A24" s="2" t="s">
        <v>12</v>
      </c>
    </row>
    <row r="44" spans="1:1" ht="15.5" x14ac:dyDescent="0.35">
      <c r="A44" s="2" t="s">
        <v>80</v>
      </c>
    </row>
    <row r="64" spans="1:1" ht="15.5" x14ac:dyDescent="0.35">
      <c r="A64" s="2" t="s">
        <v>81</v>
      </c>
    </row>
  </sheetData>
  <mergeCells count="2">
    <mergeCell ref="A1:R1"/>
    <mergeCell ref="A2:R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Raw-Data</vt:lpstr>
      <vt:lpstr>HSR Arrival OT</vt:lpstr>
      <vt:lpstr>HSR Availability</vt:lpstr>
      <vt:lpstr>Central Arrival OT</vt:lpstr>
      <vt:lpstr>Central Availability</vt:lpstr>
      <vt:lpstr>Combined Arrival OT</vt:lpstr>
      <vt:lpstr>Combined Availability</vt:lpstr>
      <vt:lpstr>BLR City Arrival OT</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Niteesh Verma</cp:lastModifiedBy>
  <cp:revision>5</cp:revision>
  <dcterms:created xsi:type="dcterms:W3CDTF">2026-07-13T17:45:27Z</dcterms:created>
  <dcterms:modified xsi:type="dcterms:W3CDTF">2026-07-20T06:46:35Z</dcterms:modified>
  <dc:language>en-US</dc:language>
</cp:coreProperties>
</file>